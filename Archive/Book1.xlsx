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d KoDz\Banner Monitor\Archive\"/>
    </mc:Choice>
  </mc:AlternateContent>
  <xr:revisionPtr revIDLastSave="0" documentId="13_ncr:1_{6B9DC1CB-1CFD-4A43-8950-11A752C2D99C}" xr6:coauthVersionLast="47" xr6:coauthVersionMax="47" xr10:uidLastSave="{00000000-0000-0000-0000-000000000000}"/>
  <bookViews>
    <workbookView xWindow="-108" yWindow="-108" windowWidth="23256" windowHeight="12456" xr2:uid="{33C20336-457B-469F-AAB8-D1AF9FF0DBC6}"/>
  </bookViews>
  <sheets>
    <sheet name="Sheet1" sheetId="1" r:id="rId1"/>
    <sheet name="Sheet2" sheetId="2" r:id="rId2"/>
  </sheets>
  <definedNames>
    <definedName name="_xlnm._FilterDatabase" localSheetId="0" hidden="1">Sheet1!$A$1:$H$217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7" i="1" l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E43" i="1"/>
  <c r="F43" i="1"/>
  <c r="G43" i="1"/>
  <c r="H43" i="1"/>
  <c r="E44" i="1"/>
  <c r="F44" i="1"/>
  <c r="G44" i="1"/>
  <c r="H44" i="1"/>
  <c r="E45" i="1"/>
  <c r="F45" i="1"/>
  <c r="G45" i="1"/>
  <c r="H45" i="1"/>
  <c r="E46" i="1"/>
  <c r="F46" i="1"/>
  <c r="G46" i="1"/>
  <c r="H46" i="1"/>
  <c r="E47" i="1"/>
  <c r="F47" i="1"/>
  <c r="G47" i="1"/>
  <c r="H47" i="1"/>
  <c r="E48" i="1"/>
  <c r="F48" i="1"/>
  <c r="G48" i="1"/>
  <c r="H48" i="1"/>
  <c r="E49" i="1"/>
  <c r="F49" i="1"/>
  <c r="G49" i="1"/>
  <c r="H49" i="1"/>
  <c r="E50" i="1"/>
  <c r="F50" i="1"/>
  <c r="G50" i="1"/>
  <c r="H50" i="1"/>
  <c r="E51" i="1"/>
  <c r="F51" i="1"/>
  <c r="G51" i="1"/>
  <c r="H51" i="1"/>
  <c r="E52" i="1"/>
  <c r="F52" i="1"/>
  <c r="G52" i="1"/>
  <c r="H52" i="1"/>
  <c r="E53" i="1"/>
  <c r="F53" i="1"/>
  <c r="G53" i="1"/>
  <c r="H53" i="1"/>
  <c r="E54" i="1"/>
  <c r="F54" i="1"/>
  <c r="G54" i="1"/>
  <c r="H54" i="1"/>
  <c r="E55" i="1"/>
  <c r="F55" i="1"/>
  <c r="G55" i="1"/>
  <c r="H55" i="1"/>
  <c r="E56" i="1"/>
  <c r="F56" i="1"/>
  <c r="G56" i="1"/>
  <c r="H56" i="1"/>
  <c r="E57" i="1"/>
  <c r="F57" i="1"/>
  <c r="G57" i="1"/>
  <c r="H57" i="1"/>
  <c r="E58" i="1"/>
  <c r="F58" i="1"/>
  <c r="G58" i="1"/>
  <c r="H58" i="1"/>
  <c r="E59" i="1"/>
  <c r="F59" i="1"/>
  <c r="G59" i="1"/>
  <c r="H59" i="1"/>
  <c r="E60" i="1"/>
  <c r="F60" i="1"/>
  <c r="G60" i="1"/>
  <c r="H60" i="1"/>
  <c r="E61" i="1"/>
  <c r="F61" i="1"/>
  <c r="G61" i="1"/>
  <c r="H61" i="1"/>
  <c r="E62" i="1"/>
  <c r="F62" i="1"/>
  <c r="G62" i="1"/>
  <c r="H62" i="1"/>
  <c r="E63" i="1"/>
  <c r="F63" i="1"/>
  <c r="G63" i="1"/>
  <c r="H63" i="1"/>
  <c r="E64" i="1"/>
  <c r="F64" i="1"/>
  <c r="G64" i="1"/>
  <c r="H64" i="1"/>
  <c r="E65" i="1"/>
  <c r="F65" i="1"/>
  <c r="G65" i="1"/>
  <c r="H65" i="1"/>
  <c r="E66" i="1"/>
  <c r="F66" i="1"/>
  <c r="G66" i="1"/>
  <c r="H66" i="1"/>
  <c r="E67" i="1"/>
  <c r="F67" i="1"/>
  <c r="G67" i="1"/>
  <c r="H67" i="1"/>
  <c r="E68" i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72" i="1"/>
  <c r="F72" i="1"/>
  <c r="G72" i="1"/>
  <c r="H72" i="1"/>
  <c r="E73" i="1"/>
  <c r="F73" i="1"/>
  <c r="G73" i="1"/>
  <c r="H73" i="1"/>
  <c r="E74" i="1"/>
  <c r="F74" i="1"/>
  <c r="G74" i="1"/>
  <c r="H74" i="1"/>
  <c r="E75" i="1"/>
  <c r="F75" i="1"/>
  <c r="G75" i="1"/>
  <c r="H75" i="1"/>
  <c r="E76" i="1"/>
  <c r="F76" i="1"/>
  <c r="G76" i="1"/>
  <c r="H76" i="1"/>
  <c r="E77" i="1"/>
  <c r="F77" i="1"/>
  <c r="G77" i="1"/>
  <c r="H77" i="1"/>
  <c r="E78" i="1"/>
  <c r="F78" i="1"/>
  <c r="G78" i="1"/>
  <c r="H78" i="1"/>
  <c r="E79" i="1"/>
  <c r="F79" i="1"/>
  <c r="G79" i="1"/>
  <c r="H79" i="1"/>
  <c r="E80" i="1"/>
  <c r="F80" i="1"/>
  <c r="G80" i="1"/>
  <c r="H80" i="1"/>
  <c r="E81" i="1"/>
  <c r="F81" i="1"/>
  <c r="G81" i="1"/>
  <c r="H81" i="1"/>
  <c r="E82" i="1"/>
  <c r="F82" i="1"/>
  <c r="G82" i="1"/>
  <c r="H82" i="1"/>
  <c r="E83" i="1"/>
  <c r="F83" i="1"/>
  <c r="G83" i="1"/>
  <c r="H83" i="1"/>
  <c r="E84" i="1"/>
  <c r="F84" i="1"/>
  <c r="G84" i="1"/>
  <c r="H84" i="1"/>
  <c r="E85" i="1"/>
  <c r="F85" i="1"/>
  <c r="G85" i="1"/>
  <c r="H85" i="1"/>
  <c r="E86" i="1"/>
  <c r="F86" i="1"/>
  <c r="G86" i="1"/>
  <c r="H86" i="1"/>
  <c r="E87" i="1"/>
  <c r="F87" i="1"/>
  <c r="G87" i="1"/>
  <c r="H87" i="1"/>
  <c r="E88" i="1"/>
  <c r="F88" i="1"/>
  <c r="G88" i="1"/>
  <c r="H88" i="1"/>
  <c r="E89" i="1"/>
  <c r="F89" i="1"/>
  <c r="G89" i="1"/>
  <c r="H89" i="1"/>
  <c r="E90" i="1"/>
  <c r="F90" i="1"/>
  <c r="G90" i="1"/>
  <c r="H90" i="1"/>
  <c r="E91" i="1"/>
  <c r="F91" i="1"/>
  <c r="G91" i="1"/>
  <c r="H91" i="1"/>
  <c r="E92" i="1"/>
  <c r="F92" i="1"/>
  <c r="G92" i="1"/>
  <c r="H92" i="1"/>
  <c r="E93" i="1"/>
  <c r="F93" i="1"/>
  <c r="G93" i="1"/>
  <c r="H93" i="1"/>
  <c r="E94" i="1"/>
  <c r="F94" i="1"/>
  <c r="G94" i="1"/>
  <c r="H94" i="1"/>
  <c r="E95" i="1"/>
  <c r="F95" i="1"/>
  <c r="G95" i="1"/>
  <c r="H95" i="1"/>
  <c r="E96" i="1"/>
  <c r="F96" i="1"/>
  <c r="G96" i="1"/>
  <c r="H96" i="1"/>
  <c r="E97" i="1"/>
  <c r="F97" i="1"/>
  <c r="G97" i="1"/>
  <c r="H97" i="1"/>
  <c r="E98" i="1"/>
  <c r="F98" i="1"/>
  <c r="G98" i="1"/>
  <c r="H98" i="1"/>
  <c r="E99" i="1"/>
  <c r="F99" i="1"/>
  <c r="G99" i="1"/>
  <c r="H99" i="1"/>
  <c r="E100" i="1"/>
  <c r="F100" i="1"/>
  <c r="G100" i="1"/>
  <c r="H100" i="1"/>
  <c r="E101" i="1"/>
  <c r="F101" i="1"/>
  <c r="G101" i="1"/>
  <c r="H101" i="1"/>
  <c r="E102" i="1"/>
  <c r="F102" i="1"/>
  <c r="G102" i="1"/>
  <c r="H102" i="1"/>
  <c r="E103" i="1"/>
  <c r="F103" i="1"/>
  <c r="G103" i="1"/>
  <c r="H103" i="1"/>
  <c r="E104" i="1"/>
  <c r="F104" i="1"/>
  <c r="G104" i="1"/>
  <c r="H104" i="1"/>
  <c r="E105" i="1"/>
  <c r="F105" i="1"/>
  <c r="G105" i="1"/>
  <c r="H105" i="1"/>
  <c r="E106" i="1"/>
  <c r="F106" i="1"/>
  <c r="G106" i="1"/>
  <c r="H106" i="1"/>
  <c r="E107" i="1"/>
  <c r="F107" i="1"/>
  <c r="G107" i="1"/>
  <c r="H107" i="1"/>
  <c r="E108" i="1"/>
  <c r="F108" i="1"/>
  <c r="G108" i="1"/>
  <c r="H108" i="1"/>
  <c r="E109" i="1"/>
  <c r="F109" i="1"/>
  <c r="G109" i="1"/>
  <c r="H109" i="1"/>
  <c r="E110" i="1"/>
  <c r="F110" i="1"/>
  <c r="G110" i="1"/>
  <c r="H110" i="1"/>
  <c r="E111" i="1"/>
  <c r="F111" i="1"/>
  <c r="G111" i="1"/>
  <c r="H111" i="1"/>
  <c r="E112" i="1"/>
  <c r="F112" i="1"/>
  <c r="G112" i="1"/>
  <c r="H112" i="1"/>
  <c r="E113" i="1"/>
  <c r="F113" i="1"/>
  <c r="G113" i="1"/>
  <c r="H113" i="1"/>
  <c r="E114" i="1"/>
  <c r="F114" i="1"/>
  <c r="G114" i="1"/>
  <c r="H114" i="1"/>
  <c r="E115" i="1"/>
  <c r="F115" i="1"/>
  <c r="G115" i="1"/>
  <c r="H115" i="1"/>
  <c r="E116" i="1"/>
  <c r="F116" i="1"/>
  <c r="G116" i="1"/>
  <c r="H116" i="1"/>
  <c r="E117" i="1"/>
  <c r="F117" i="1"/>
  <c r="G117" i="1"/>
  <c r="H117" i="1"/>
  <c r="E118" i="1"/>
  <c r="F118" i="1"/>
  <c r="G118" i="1"/>
  <c r="H118" i="1"/>
  <c r="E119" i="1"/>
  <c r="F119" i="1"/>
  <c r="G119" i="1"/>
  <c r="H119" i="1"/>
  <c r="E120" i="1"/>
  <c r="F120" i="1"/>
  <c r="G120" i="1"/>
  <c r="H120" i="1"/>
  <c r="E121" i="1"/>
  <c r="F121" i="1"/>
  <c r="G121" i="1"/>
  <c r="H121" i="1"/>
  <c r="E122" i="1"/>
  <c r="F122" i="1"/>
  <c r="G122" i="1"/>
  <c r="H122" i="1"/>
  <c r="E123" i="1"/>
  <c r="F123" i="1"/>
  <c r="G123" i="1"/>
  <c r="H123" i="1"/>
  <c r="E124" i="1"/>
  <c r="F124" i="1"/>
  <c r="G124" i="1"/>
  <c r="H124" i="1"/>
  <c r="E125" i="1"/>
  <c r="F125" i="1"/>
  <c r="G125" i="1"/>
  <c r="H125" i="1"/>
  <c r="E126" i="1"/>
  <c r="F126" i="1"/>
  <c r="G126" i="1"/>
  <c r="H126" i="1"/>
  <c r="E127" i="1"/>
  <c r="F127" i="1"/>
  <c r="G127" i="1"/>
  <c r="H127" i="1"/>
  <c r="E128" i="1"/>
  <c r="F128" i="1"/>
  <c r="G128" i="1"/>
  <c r="H128" i="1"/>
  <c r="E129" i="1"/>
  <c r="F129" i="1"/>
  <c r="G129" i="1"/>
  <c r="H129" i="1"/>
  <c r="E130" i="1"/>
  <c r="F130" i="1"/>
  <c r="G130" i="1"/>
  <c r="H130" i="1"/>
  <c r="E131" i="1"/>
  <c r="F131" i="1"/>
  <c r="G131" i="1"/>
  <c r="H131" i="1"/>
  <c r="E132" i="1"/>
  <c r="F132" i="1"/>
  <c r="G132" i="1"/>
  <c r="H132" i="1"/>
  <c r="E133" i="1"/>
  <c r="F133" i="1"/>
  <c r="G133" i="1"/>
  <c r="H133" i="1"/>
  <c r="E134" i="1"/>
  <c r="F134" i="1"/>
  <c r="G134" i="1"/>
  <c r="H134" i="1"/>
  <c r="E135" i="1"/>
  <c r="F135" i="1"/>
  <c r="G135" i="1"/>
  <c r="H135" i="1"/>
  <c r="E136" i="1"/>
  <c r="F136" i="1"/>
  <c r="G136" i="1"/>
  <c r="H136" i="1"/>
  <c r="E137" i="1"/>
  <c r="F137" i="1"/>
  <c r="G137" i="1"/>
  <c r="H137" i="1"/>
  <c r="E138" i="1"/>
  <c r="F138" i="1"/>
  <c r="G138" i="1"/>
  <c r="H138" i="1"/>
  <c r="E139" i="1"/>
  <c r="F139" i="1"/>
  <c r="G139" i="1"/>
  <c r="H139" i="1"/>
  <c r="E140" i="1"/>
  <c r="F140" i="1"/>
  <c r="G140" i="1"/>
  <c r="H140" i="1"/>
  <c r="E141" i="1"/>
  <c r="F141" i="1"/>
  <c r="G141" i="1"/>
  <c r="H141" i="1"/>
  <c r="E142" i="1"/>
  <c r="F142" i="1"/>
  <c r="G142" i="1"/>
  <c r="H142" i="1"/>
  <c r="E143" i="1"/>
  <c r="F143" i="1"/>
  <c r="G143" i="1"/>
  <c r="H143" i="1"/>
  <c r="E144" i="1"/>
  <c r="F144" i="1"/>
  <c r="G144" i="1"/>
  <c r="H144" i="1"/>
  <c r="E145" i="1"/>
  <c r="F145" i="1"/>
  <c r="G145" i="1"/>
  <c r="H145" i="1"/>
  <c r="E146" i="1"/>
  <c r="F146" i="1"/>
  <c r="G146" i="1"/>
  <c r="H146" i="1"/>
  <c r="E147" i="1"/>
  <c r="F147" i="1"/>
  <c r="G147" i="1"/>
  <c r="H147" i="1"/>
  <c r="E148" i="1"/>
  <c r="F148" i="1"/>
  <c r="G148" i="1"/>
  <c r="H148" i="1"/>
  <c r="E149" i="1"/>
  <c r="F149" i="1"/>
  <c r="G149" i="1"/>
  <c r="H149" i="1"/>
  <c r="E150" i="1"/>
  <c r="F150" i="1"/>
  <c r="G150" i="1"/>
  <c r="H150" i="1"/>
  <c r="E151" i="1"/>
  <c r="F151" i="1"/>
  <c r="G151" i="1"/>
  <c r="H151" i="1"/>
  <c r="E152" i="1"/>
  <c r="F152" i="1"/>
  <c r="G152" i="1"/>
  <c r="H152" i="1"/>
  <c r="E153" i="1"/>
  <c r="F153" i="1"/>
  <c r="G153" i="1"/>
  <c r="H153" i="1"/>
  <c r="E154" i="1"/>
  <c r="F154" i="1"/>
  <c r="G154" i="1"/>
  <c r="H154" i="1"/>
  <c r="E155" i="1"/>
  <c r="F155" i="1"/>
  <c r="G155" i="1"/>
  <c r="H155" i="1"/>
  <c r="E156" i="1"/>
  <c r="F156" i="1"/>
  <c r="G156" i="1"/>
  <c r="H156" i="1"/>
  <c r="E157" i="1"/>
  <c r="F157" i="1"/>
  <c r="G157" i="1"/>
  <c r="H157" i="1"/>
  <c r="E158" i="1"/>
  <c r="F158" i="1"/>
  <c r="G158" i="1"/>
  <c r="H158" i="1"/>
  <c r="E159" i="1"/>
  <c r="F159" i="1"/>
  <c r="G159" i="1"/>
  <c r="H159" i="1"/>
  <c r="E160" i="1"/>
  <c r="F160" i="1"/>
  <c r="G160" i="1"/>
  <c r="H160" i="1"/>
  <c r="E161" i="1"/>
  <c r="F161" i="1"/>
  <c r="G161" i="1"/>
  <c r="H161" i="1"/>
  <c r="E162" i="1"/>
  <c r="F162" i="1"/>
  <c r="G162" i="1"/>
  <c r="H162" i="1"/>
  <c r="E163" i="1"/>
  <c r="F163" i="1"/>
  <c r="G163" i="1"/>
  <c r="H163" i="1"/>
  <c r="E164" i="1"/>
  <c r="F164" i="1"/>
  <c r="G164" i="1"/>
  <c r="H164" i="1"/>
  <c r="E165" i="1"/>
  <c r="F165" i="1"/>
  <c r="G165" i="1"/>
  <c r="H165" i="1"/>
  <c r="E166" i="1"/>
  <c r="F166" i="1"/>
  <c r="G166" i="1"/>
  <c r="H166" i="1"/>
  <c r="E167" i="1"/>
  <c r="F167" i="1"/>
  <c r="G167" i="1"/>
  <c r="H167" i="1"/>
  <c r="E168" i="1"/>
  <c r="F168" i="1"/>
  <c r="G168" i="1"/>
  <c r="H168" i="1"/>
  <c r="E169" i="1"/>
  <c r="F169" i="1"/>
  <c r="G169" i="1"/>
  <c r="H169" i="1"/>
  <c r="E170" i="1"/>
  <c r="F170" i="1"/>
  <c r="G170" i="1"/>
  <c r="H170" i="1"/>
  <c r="E171" i="1"/>
  <c r="F171" i="1"/>
  <c r="G171" i="1"/>
  <c r="H171" i="1"/>
  <c r="E172" i="1"/>
  <c r="F172" i="1"/>
  <c r="G172" i="1"/>
  <c r="H172" i="1"/>
  <c r="E173" i="1"/>
  <c r="F173" i="1"/>
  <c r="G173" i="1"/>
  <c r="H173" i="1"/>
  <c r="E174" i="1"/>
  <c r="F174" i="1"/>
  <c r="G174" i="1"/>
  <c r="H174" i="1"/>
  <c r="E175" i="1"/>
  <c r="F175" i="1"/>
  <c r="G175" i="1"/>
  <c r="H175" i="1"/>
  <c r="E176" i="1"/>
  <c r="F176" i="1"/>
  <c r="G176" i="1"/>
  <c r="H176" i="1"/>
  <c r="E177" i="1"/>
  <c r="F177" i="1"/>
  <c r="G177" i="1"/>
  <c r="H177" i="1"/>
  <c r="E178" i="1"/>
  <c r="F178" i="1"/>
  <c r="G178" i="1"/>
  <c r="H178" i="1"/>
  <c r="E179" i="1"/>
  <c r="F179" i="1"/>
  <c r="G179" i="1"/>
  <c r="H179" i="1"/>
  <c r="E180" i="1"/>
  <c r="F180" i="1"/>
  <c r="G180" i="1"/>
  <c r="H180" i="1"/>
  <c r="E181" i="1"/>
  <c r="F181" i="1"/>
  <c r="G181" i="1"/>
  <c r="H181" i="1"/>
  <c r="E182" i="1"/>
  <c r="F182" i="1"/>
  <c r="G182" i="1"/>
  <c r="H182" i="1"/>
  <c r="E183" i="1"/>
  <c r="F183" i="1"/>
  <c r="G183" i="1"/>
  <c r="H183" i="1"/>
  <c r="E184" i="1"/>
  <c r="F184" i="1"/>
  <c r="G184" i="1"/>
  <c r="H184" i="1"/>
  <c r="E185" i="1"/>
  <c r="F185" i="1"/>
  <c r="G185" i="1"/>
  <c r="H185" i="1"/>
  <c r="E186" i="1"/>
  <c r="F186" i="1"/>
  <c r="G186" i="1"/>
  <c r="H186" i="1"/>
  <c r="E187" i="1"/>
  <c r="F187" i="1"/>
  <c r="H187" i="1"/>
  <c r="E188" i="1"/>
  <c r="F188" i="1"/>
  <c r="G188" i="1"/>
  <c r="H188" i="1"/>
  <c r="E189" i="1"/>
  <c r="F189" i="1"/>
  <c r="G189" i="1"/>
  <c r="H189" i="1"/>
  <c r="E190" i="1"/>
  <c r="F190" i="1"/>
  <c r="G190" i="1"/>
  <c r="H190" i="1"/>
  <c r="E191" i="1"/>
  <c r="F191" i="1"/>
  <c r="G191" i="1"/>
  <c r="H191" i="1"/>
  <c r="E192" i="1"/>
  <c r="F192" i="1"/>
  <c r="G192" i="1"/>
  <c r="H192" i="1"/>
  <c r="E193" i="1"/>
  <c r="F193" i="1"/>
  <c r="G193" i="1"/>
  <c r="H193" i="1"/>
  <c r="E194" i="1"/>
  <c r="F194" i="1"/>
  <c r="G194" i="1"/>
  <c r="H194" i="1"/>
  <c r="E195" i="1"/>
  <c r="F195" i="1"/>
  <c r="G195" i="1"/>
  <c r="H195" i="1"/>
  <c r="E196" i="1"/>
  <c r="F196" i="1"/>
  <c r="G196" i="1"/>
  <c r="H196" i="1"/>
  <c r="E197" i="1"/>
  <c r="F197" i="1"/>
  <c r="G197" i="1"/>
  <c r="H197" i="1"/>
  <c r="E198" i="1"/>
  <c r="F198" i="1"/>
  <c r="G198" i="1"/>
  <c r="H198" i="1"/>
  <c r="E199" i="1"/>
  <c r="F199" i="1"/>
  <c r="G199" i="1"/>
  <c r="H199" i="1"/>
  <c r="E200" i="1"/>
  <c r="F200" i="1"/>
  <c r="G200" i="1"/>
  <c r="H200" i="1"/>
  <c r="E201" i="1"/>
  <c r="F201" i="1"/>
  <c r="G201" i="1"/>
  <c r="H201" i="1"/>
  <c r="E202" i="1"/>
  <c r="F202" i="1"/>
  <c r="G202" i="1"/>
  <c r="H202" i="1"/>
  <c r="E203" i="1"/>
  <c r="F203" i="1"/>
  <c r="G203" i="1"/>
  <c r="H203" i="1"/>
  <c r="E204" i="1"/>
  <c r="F204" i="1"/>
  <c r="G204" i="1"/>
  <c r="H204" i="1"/>
  <c r="E205" i="1"/>
  <c r="F205" i="1"/>
  <c r="G205" i="1"/>
  <c r="H205" i="1"/>
  <c r="E206" i="1"/>
  <c r="F206" i="1"/>
  <c r="G206" i="1"/>
  <c r="H206" i="1"/>
  <c r="E207" i="1"/>
  <c r="F207" i="1"/>
  <c r="G207" i="1"/>
  <c r="H207" i="1"/>
  <c r="E208" i="1"/>
  <c r="F208" i="1"/>
  <c r="G208" i="1"/>
  <c r="H208" i="1"/>
  <c r="E209" i="1"/>
  <c r="F209" i="1"/>
  <c r="G209" i="1"/>
  <c r="H209" i="1"/>
  <c r="E210" i="1"/>
  <c r="F210" i="1"/>
  <c r="G210" i="1"/>
  <c r="H210" i="1"/>
  <c r="E211" i="1"/>
  <c r="F211" i="1"/>
  <c r="G211" i="1"/>
  <c r="H211" i="1"/>
  <c r="E212" i="1"/>
  <c r="F212" i="1"/>
  <c r="G212" i="1"/>
  <c r="H212" i="1"/>
  <c r="E213" i="1"/>
  <c r="F213" i="1"/>
  <c r="G213" i="1"/>
  <c r="H213" i="1"/>
  <c r="E214" i="1"/>
  <c r="F214" i="1"/>
  <c r="G214" i="1"/>
  <c r="H214" i="1"/>
  <c r="E215" i="1"/>
  <c r="F215" i="1"/>
  <c r="G215" i="1"/>
  <c r="H215" i="1"/>
  <c r="E216" i="1"/>
  <c r="F216" i="1"/>
  <c r="G216" i="1"/>
  <c r="H216" i="1"/>
  <c r="E217" i="1"/>
  <c r="F217" i="1"/>
  <c r="G217" i="1"/>
  <c r="H217" i="1"/>
  <c r="H36" i="1"/>
  <c r="G36" i="1"/>
  <c r="F36" i="1"/>
  <c r="E36" i="1"/>
  <c r="E35" i="1"/>
  <c r="H32" i="1"/>
  <c r="H33" i="1"/>
  <c r="H34" i="1"/>
  <c r="G35" i="1"/>
  <c r="H35" i="1"/>
</calcChain>
</file>

<file path=xl/sharedStrings.xml><?xml version="1.0" encoding="utf-8"?>
<sst xmlns="http://schemas.openxmlformats.org/spreadsheetml/2006/main" count="1665" uniqueCount="907">
  <si>
    <t>Campaign Name</t>
  </si>
  <si>
    <t>Banner Name</t>
  </si>
  <si>
    <t>Merchant</t>
  </si>
  <si>
    <t>Banner</t>
  </si>
  <si>
    <t>Start Date</t>
  </si>
  <si>
    <t>End Date</t>
  </si>
  <si>
    <t>Account Manager</t>
  </si>
  <si>
    <t>Price</t>
  </si>
  <si>
    <t>Afiat Lab</t>
  </si>
  <si>
    <t>https://adserver.doctoreto.com/www/delivery/cl.php?bannerid=636&amp;zoneid=0&amp;log=no&amp;sig=b6cf5889ae7d9c83142463102cfc0925f1675a04e297fd00c5616e0664e143ea&amp;dest=https%3A%2F%2Fdoctoreto.com%2Fcenter%2Fafiat-esfehan-lab%2FYgPlyL</t>
  </si>
  <si>
    <t>https://adserver.doctoreto.com/www/images/b25bb3b18fc8f0e7a863650d8752d095.gif</t>
  </si>
  <si>
    <t>1405/03/03</t>
  </si>
  <si>
    <t>1405/06/03</t>
  </si>
  <si>
    <t>Shahrzad</t>
  </si>
  <si>
    <t>Ako Hamzeie</t>
  </si>
  <si>
    <t>Ako Hamzeie PLP</t>
  </si>
  <si>
    <t>https://adserver.doctoreto.com/www/delivery/cl.php?bannerid=1010&amp;zoneid=0&amp;log=no&amp;sig=5a5cf7772c4f52316542672e33be554be3e8184cc5925df6c619359335dd004d&amp;dest=https%3A%2F%2Fdoctoreto.com%2Fdoctor%2Fdr-ako-hamzei%2FZPrNxp</t>
  </si>
  <si>
    <t>https://adserver.doctoreto.com/www/images/32a68a02754ef77646006179bb374706.gif</t>
  </si>
  <si>
    <t>1405/04/30</t>
  </si>
  <si>
    <t>1405/07/30</t>
  </si>
  <si>
    <t>Mohammad</t>
  </si>
  <si>
    <t>Ali Mohammadi Moghadam</t>
  </si>
  <si>
    <t>https://adserver.doctoreto.com/www/delivery/cl.php?bannerid=596&amp;zoneid=0&amp;log=no&amp;sig=6ac59bb1d5301706044e9581efc46d13ba60a4252da0f9ac729a63b1433156cb&amp;dest=https%3A%2F%2Fdoctoreto.com%2Fdoctor%2Fdr-ali-mohammadi-moghadam%2FqdDYrP</t>
  </si>
  <si>
    <t>https://adserver.doctoreto.com/www/images/1349ca8569ad1b4c4db041e36398ee08.gif</t>
  </si>
  <si>
    <t>1405/04/23</t>
  </si>
  <si>
    <t>1405/08/01</t>
  </si>
  <si>
    <t>Ellie</t>
  </si>
  <si>
    <t>Ali Mohammadi Moghadam PLP FagharaT</t>
  </si>
  <si>
    <t>https://adserver.doctoreto.com/www/delivery/cl.php?bannerid=935&amp;zoneid=0&amp;log=no&amp;sig=62c9dec9f304926d5917edbb9bc99bd1b00c00b51988a83137892a6e3e06135b&amp;dest=https%3A%2F%2Fdoctoreto.com%2Fdoctor%2Fdr-ali-mohammadi-moghadam%2FqdDYrP</t>
  </si>
  <si>
    <t>https://adserver.doctoreto.com/www/images/3f125a5ba498f9aeec458ca2582c1ccb.gif</t>
  </si>
  <si>
    <t>Amir Hossein ShirBan</t>
  </si>
  <si>
    <t>Dr ShirBan</t>
  </si>
  <si>
    <t>https://adserver.doctoreto.com/www/delivery/cl.php?bannerid=696&amp;zoneid=0&amp;log=no&amp;sig=62779ec800ca4bafb6c4a223215412516edfe902b6a56e565c172f7a2fa269c8&amp;dest=https%3A%2F%2Fdoctoreto.com%2Fdoctor%2Famir-hossein-shirban%2FZnazEM</t>
  </si>
  <si>
    <t>https://adserver.doctoreto.com/www/images/011a03284eec135bb5f2bb3e211a580b.gif</t>
  </si>
  <si>
    <t>1405/03/26</t>
  </si>
  <si>
    <t>1405/06/26</t>
  </si>
  <si>
    <t>AmirHossein Emami Meybodi</t>
  </si>
  <si>
    <t>https://adserver.doctoreto.com/www/delivery/cl.php?bannerid=970&amp;zoneid=0&amp;log=no&amp;sig=394316068b7839373e591cf91982764ee3587fa46898700f3d0a11dcfc5a936a&amp;dest=https%3A%2F%2Fdoctoreto.com%2Fdoctor%2Fdr-amir-hosein-emami-meybodi%2FMzDkKq</t>
  </si>
  <si>
    <t>https://adserver.doctoreto.com/www/images/2f149ff6e68ff17b082960c4081aba03.gif</t>
  </si>
  <si>
    <t>1405/04/28</t>
  </si>
  <si>
    <t>1405/07/28</t>
  </si>
  <si>
    <t>Shaghayegh</t>
  </si>
  <si>
    <t>Arta Clinic - KhabazZadeh</t>
  </si>
  <si>
    <t>Arta Clinic - KhabazZadeh two PLP</t>
  </si>
  <si>
    <t>https://adserver.doctoreto.com/www/delivery/cl.php?bannerid=1095&amp;zoneid=0&amp;log=no&amp;sig=8b7e94a9b9bdb93d3123ec611fe20f8965f50b1c4fdf90f0a0050a32ae83d330&amp;dest=https%3A%2F%2Fdoctoreto.com%2Fdoctor%2Fdr-ali-khabbazzadeh%2FZAKXVV</t>
  </si>
  <si>
    <t>https://adserver.doctoreto.com/www/images/fa3a7556063a95c193cabb51da400426.gif</t>
  </si>
  <si>
    <t>1405/05/10</t>
  </si>
  <si>
    <t>1405/08/10</t>
  </si>
  <si>
    <t>Naser</t>
  </si>
  <si>
    <t>Dr Mohammad Ali Ansari</t>
  </si>
  <si>
    <t>Dr M.A Ansari</t>
  </si>
  <si>
    <t>https://adserver.doctoreto.com/www/delivery/cl.php?bannerid=549&amp;zoneid=0&amp;log=no&amp;sig=09c161a618c54065d94d1375348a9aec46df6ee951760af572a472feeee79c1c&amp;dest=https%3A%2F%2Fdoctoreto.com%2Fdoctor%2Fdr-mohammad-ali-ansari%2FMlQRvJ</t>
  </si>
  <si>
    <t>https://adserver.doctoreto.com/www/images/604f0a115f23b778a2f1a97beb89bfd4.webp</t>
  </si>
  <si>
    <t>1406/05/20</t>
  </si>
  <si>
    <t>1405/08/20</t>
  </si>
  <si>
    <t>Sanam</t>
  </si>
  <si>
    <t>Dr Sara Arzhang</t>
  </si>
  <si>
    <t>https://adserver.doctoreto.com/www/delivery/cl.php?bannerid=545&amp;zoneid=0&amp;log=no&amp;sig=f73f24a5dff21d99331502c4735ed5c9dddaac377a055af84920749795d7c1d5&amp;dest=https%3A%2F%2Fdoctoreto.com%2Fdoctor%2Fdr-sara-arjang%2FMLXvgR</t>
  </si>
  <si>
    <t>https://adserver.doctoreto.com/www/images/7c462a69adb9793b55c42a095a31fade.gif</t>
  </si>
  <si>
    <t>1404/11/14</t>
  </si>
  <si>
    <t>1405/07/14</t>
  </si>
  <si>
    <t>Dr - abdulvahab baradaran</t>
  </si>
  <si>
    <t>Dr - Abdulvahab baradaran</t>
  </si>
  <si>
    <t>https://adserver.doctoreto.com/www/delivery/cl.php?bannerid=644&amp;zoneid=0&amp;log=no&amp;sig=71a9c21aebc374647e82ced92b490abb3df1c91a35985b779274d9e72eff1a83&amp;dest=https%3A%2F%2Fdoctoreto.com%2Fdoctor%2Fdr-abdolvahab-baradaran%2FqRzXKx</t>
  </si>
  <si>
    <t>https://adserver.doctoreto.com/www/images/a935e7c584e416681ee1fc92459fa9f2.gif</t>
  </si>
  <si>
    <t>1405/03/09</t>
  </si>
  <si>
    <t>1405/06/09</t>
  </si>
  <si>
    <t>Dr. Bambaei Chi</t>
  </si>
  <si>
    <t>dr. bamaei chi</t>
  </si>
  <si>
    <t>https://adserver.doctoreto.com/www/delivery/cl.php?bannerid=366&amp;zoneid=0&amp;log=no&amp;sig=4a7b44131961965ad206b0b883e8a278ae0faeaed4717272d8520370f822dc15&amp;dest=https%3A%2F%2Fdoctoreto.com%2Fdoctor%2Fdr-paridokht-bambaei-chi%2FGeRDDM</t>
  </si>
  <si>
    <t>https://adserver.doctoreto.com/www/images/63b01efe2557b069f4e4665bb6d3c2a5.webp</t>
  </si>
  <si>
    <t>1404/04/31</t>
  </si>
  <si>
    <t>1404/07/30</t>
  </si>
  <si>
    <t>Aban psycology clinic</t>
  </si>
  <si>
    <t>Aban</t>
  </si>
  <si>
    <t>https://adserver.doctoreto.com/www/delivery/cl.php?bannerid=450&amp;zoneid=0&amp;log=no&amp;sig=dd0d5d47897769810acdf7c20649c489f63ea020e3b5150814d7f5b955350ab5&amp;dest=https%3A%2F%2Fdoctoreto.com%2Fcenter%2Faban-shiraz-clinic%2FAbprqZ%3FsearchedFrom%3DheaderAutoFill</t>
  </si>
  <si>
    <t>https://adserver.doctoreto.com/www/images/ad6b4f2f6e1949de8a4e4b538dec3b5f.jpg</t>
  </si>
  <si>
    <t>1405/09/09</t>
  </si>
  <si>
    <t>Abbas Behrad</t>
  </si>
  <si>
    <t>Dr Abbad Behrad</t>
  </si>
  <si>
    <t>https://adserver.doctoreto.com/www/delivery/cl.php?bannerid=1147&amp;zoneid=0&amp;log=no&amp;sig=6fef0a8d618aabf8d63b8e7d95c1464c8c74918d4701d05524674f29f2226ad8&amp;dest=https%3A%2F%2Fdoctoreto.com%2Fdoctor%2Fdr-abbas-behrad%2FMzzQzM</t>
  </si>
  <si>
    <t>https://adserver.doctoreto.com/www/images/e710a0e114f35edae0d39179efe0e121.gif</t>
  </si>
  <si>
    <t>1405/05/29</t>
  </si>
  <si>
    <t>1405/08/29</t>
  </si>
  <si>
    <t>Aradid</t>
  </si>
  <si>
    <t>https://adserver.doctoreto.com/www/delivery/cl.php?bannerid=1192&amp;zoneid=0&amp;log=no&amp;sig=5c03e94db37fdc306538de93ebdd2465aa10d885cd8e0448c3401f607e99e6b2&amp;dest=https%3A%2F%2Fdoctoreto.com%2Fdoctor%2Falireza-khoub-yari%2FZPdnbQ</t>
  </si>
  <si>
    <t>https://adserver.doctoreto.com/www/images/b5f1abd7e1936446fa7f0793bb5d13b9.gif</t>
  </si>
  <si>
    <t>1405/06/04</t>
  </si>
  <si>
    <t>1405/09/04</t>
  </si>
  <si>
    <t>Arghavan Clinic</t>
  </si>
  <si>
    <t>https://adserver.doctoreto.com/www/delivery/cl.php?bannerid=612&amp;zoneid=0&amp;log=no&amp;sig=a5fef04815e4fdfbbe1ad5e120bf8696968b683930629c6249ec8bdbcba4dcd5&amp;dest=https%3A%2F%2Fdoctoreto.com%2Fcenter%2Farghavan-shiraz-infirmary%2FMQavNK</t>
  </si>
  <si>
    <t>https://adserver.doctoreto.com/www/images/0f3cdb69996646a660c2998454b02a8e.gif</t>
  </si>
  <si>
    <t>1405/06/07</t>
  </si>
  <si>
    <t>1405/09/07</t>
  </si>
  <si>
    <t>Sara</t>
  </si>
  <si>
    <t>Arghavan Clinic Desktop</t>
  </si>
  <si>
    <t>https://adserver.doctoreto.com/www/delivery/cl.php?bannerid=1232&amp;zoneid=0&amp;log=no&amp;sig=daebd280fb159f114decd57cebf8e8dd9bc214236f80ecdbd71aea68aaffc12b&amp;dest=https%3A%2F%2Fdoctoreto.com%2Fcenter%2Farghavan-shiraz-infirmary%2FMQavNK%3F_gl%3D</t>
  </si>
  <si>
    <t>https://adserver.doctoreto.com/www/images/14e19a01414f6e2eb1a79c6ff1ac357b.gif</t>
  </si>
  <si>
    <t>Arghavan Clinic Mobile</t>
  </si>
  <si>
    <t>https://adserver.doctoreto.com/www/delivery/cl.php?bannerid=1237&amp;zoneid=0&amp;log=no&amp;sig=ee08d92e8b5543166905679f2397f247d99ec9f1471b9c993077d22bb7b574ce&amp;dest=https%3A%2F%2Fdoctoreto.com%2Fcenter%2Farghavan-shiraz-infirmary%2FMQavNK%3F_gl%3D</t>
  </si>
  <si>
    <t>https://adserver.doctoreto.com/www/images/889a6f77e87cbbfdd5c4ad157b540702.gif</t>
  </si>
  <si>
    <t>Avina Clinic</t>
  </si>
  <si>
    <t>Avina Clinic Karaj</t>
  </si>
  <si>
    <t>https://adserver.doctoreto.com/www/delivery/cl.php?bannerid=716&amp;zoneid=0&amp;log=no&amp;sig=39940605c92ee689cc06c8f0baf1fd2071b14163e17468209a307105f9780bb3&amp;dest=https%3A%2F%2Fdoctoreto.com%2Fcenter%2Favina-karaj-clinic%2FAeXzBG</t>
  </si>
  <si>
    <t>https://adserver.doctoreto.com/www/images/b85be36b4f5831d0c55dd7b8d4330f5c.gif</t>
  </si>
  <si>
    <t>1405/03/27</t>
  </si>
  <si>
    <t>1405/06/27</t>
  </si>
  <si>
    <t>Avina Clinic Tehran</t>
  </si>
  <si>
    <t>https://adserver.doctoreto.com/www/delivery/cl.php?bannerid=1183&amp;zoneid=0&amp;log=no&amp;sig=aab822690cc07bec70aade3c80539e35466cad071ee0471324c08644fd27a136&amp;dest=https%3A%2F%2Fdoctoreto.com%2Fcenter%2Favina-tehran-clinic%2FAeyaXb</t>
  </si>
  <si>
    <t>https://adserver.doctoreto.com/www/images/fc3344e43e46a3371b2aef2c4375da18.gif</t>
  </si>
  <si>
    <t>1405/06/01</t>
  </si>
  <si>
    <t>1405/09/01</t>
  </si>
  <si>
    <t>Behrouz Besharat</t>
  </si>
  <si>
    <t>DR Besharat</t>
  </si>
  <si>
    <t>https://adserver.doctoreto.com/www/delivery/cl.php?bannerid=662&amp;zoneid=0&amp;log=no&amp;sig=bb57008062b03e68adfc0fafa64d6ac567a4627297e9ff468c4621505b558e75&amp;dest=https%3A%2F%2Fdoctoreto.com%2Fdoctor%2Fdr-behrooz-besharat%2FMmPLJX</t>
  </si>
  <si>
    <t>https://adserver.doctoreto.com/www/images/eb590c39fc9be830f1b190a64b30e2aa.gif</t>
  </si>
  <si>
    <t>1405/03/17</t>
  </si>
  <si>
    <t>1405/06/17</t>
  </si>
  <si>
    <t>Clinic Sepida</t>
  </si>
  <si>
    <t>https://adserver.doctoreto.com/www/delivery/cl.php?bannerid=910&amp;zoneid=0&amp;log=no&amp;sig=5e6ad142f46a9484fc8f324892af8346dd052cdf374ade63677387a363547c30&amp;dest=https%3A%2F%2Fdoctoreto.com%2Fcenter%2Fsepida-tehran-clinic%2FZyJOyo</t>
  </si>
  <si>
    <t>https://adserver.doctoreto.com/www/images/e87ec79e0ec1dde1532d113d94414657.gif</t>
  </si>
  <si>
    <t>1405/04/24</t>
  </si>
  <si>
    <t>1405/07/24</t>
  </si>
  <si>
    <t>Diabet Kourosh</t>
  </si>
  <si>
    <t>Diabet Kouro$H</t>
  </si>
  <si>
    <t>https://adserver.doctoreto.com/www/delivery/cl.php?bannerid=1188&amp;zoneid=0&amp;log=no&amp;sig=8bee8bf2a35808588888f78696dd3e5e8a7b521b03b681da7d6e2ed9a81eebe6&amp;dest=https%3A%2F%2Fdoctoreto.com%2Fcenter%2Fkurosh-clinic%2FAkVegO</t>
  </si>
  <si>
    <t>https://adserver.doctoreto.com/www/images/0d5d8064f5fdf917169227994ef3d696.png</t>
  </si>
  <si>
    <t>1405/06/02</t>
  </si>
  <si>
    <t>1405/09/02</t>
  </si>
  <si>
    <t>Dr - Afshin Tajali</t>
  </si>
  <si>
    <t>DR - Afshin Tajali</t>
  </si>
  <si>
    <t>https://adserver.doctoreto.com/www/delivery/cl.php?bannerid=491&amp;zoneid=0&amp;log=no&amp;sig=9ce1cdaa3362cd1cc7c3fc3ec18147c900d9ea1431259d734c93b2d40b7857f6&amp;dest=https%3A%2F%2Fdoctoreto.com%2Fdoctor%2Fdr-afshin-tajalli%2FqkbKAZ</t>
  </si>
  <si>
    <t>https://adserver.doctoreto.com/www/images/bc17533ac25821a49b7b0f2341bb1a0d.webp</t>
  </si>
  <si>
    <t>1404/09/26</t>
  </si>
  <si>
    <t>1404/12/26</t>
  </si>
  <si>
    <t>Dr - Arsham Azar Baad</t>
  </si>
  <si>
    <t>Dr Arsham Azar Baad</t>
  </si>
  <si>
    <t>https://adserver.doctoreto.com/www/delivery/cl.php?bannerid=529&amp;zoneid=0&amp;log=no&amp;sig=45a6bc46563231da01b2427d5bd1c3dee0a8444f21f1923bca3acc0129125c3f&amp;dest=https%3A%2F%2Fdoctoreto.com%2Fdoctor%2Fdr-arsham-azarbad%2FZpgDRw</t>
  </si>
  <si>
    <t>https://adserver.doctoreto.com/www/images/f22ffd09452ccff6ccb872871c268e5e.webp</t>
  </si>
  <si>
    <t>1404/11/04</t>
  </si>
  <si>
    <t>1405/02/04</t>
  </si>
  <si>
    <t>Nastaran</t>
  </si>
  <si>
    <t>Dr - Hamid HaghShenas</t>
  </si>
  <si>
    <t>Dr Hamid HaghShenas</t>
  </si>
  <si>
    <t>https://adserver.doctoreto.com/www/delivery/cl.php?bannerid=481&amp;zoneid=0&amp;log=no&amp;sig=c04623d46a754dc62ff52527f6e82d1c82da608e82821693fdacffe1bdae69f6&amp;dest=https%3A%2F%2Fdoctoreto.com%2Fdoctor%2Fdr-hamid-haghshenas%2FqLJgQM</t>
  </si>
  <si>
    <t>https://adserver.doctoreto.com/www/images/847de085a6cb19dec2b106987063933b.webp</t>
  </si>
  <si>
    <t>1404/09/19</t>
  </si>
  <si>
    <t>1404/12/19</t>
  </si>
  <si>
    <t>Dr - Hossein Abtahi</t>
  </si>
  <si>
    <t>Dr - Hossein Abtahi II</t>
  </si>
  <si>
    <t>https://adserver.doctoreto.com/www/delivery/cl.php?bannerid=504&amp;zoneid=0&amp;log=no&amp;sig=8695cedae9e8e13520a13bd25d2ca72bc179ed75045713e5f9e760d41f4b02ab&amp;dest=https%3A%2F%2Fdoctoreto.com%2Fdoctor%2Fdr-seyed-hossein-abtahi%2FMLzKQz%3FsearchedFrom%3DheaderAutoFill</t>
  </si>
  <si>
    <t>https://adserver.doctoreto.com/www/images/1beb47a0d5184cabc26afe42d7f37fdb.gif</t>
  </si>
  <si>
    <t>1404/10/03</t>
  </si>
  <si>
    <t>1405/01/03</t>
  </si>
  <si>
    <t>Dr Hossein Abtahi</t>
  </si>
  <si>
    <t>https://adserver.doctoreto.com/www/delivery/cl.php?bannerid=500&amp;zoneid=0&amp;log=no&amp;sig=77e1a056194b2ea28c4fbaa140dbb98fa52a1efdc4e4f8582eb2211c1864ff76&amp;dest=https%3A%2F%2Fdoctoreto.com%2Fdoctor%2Fdr-seyed-hossein-abtahi%2FMLzKQz%3FsearchedFrom%3DheaderAutoFill</t>
  </si>
  <si>
    <t>https://adserver.doctoreto.com/www/images/609f853e756b51b8875f0afd81d202b7.webp</t>
  </si>
  <si>
    <t>DR - Masoumeh Mahboudi</t>
  </si>
  <si>
    <t>Dr Masoumeh Mahboudi</t>
  </si>
  <si>
    <t>https://adserver.doctoreto.com/www/delivery/cl.php?bannerid=510&amp;zoneid=0&amp;log=no&amp;sig=c96b87a8558666da8c6a4e94dd5418378fd4be2d52df771fb08d8e413a6ff95b&amp;dest=https%3A%2F%2Fdoctoreto.com%2Fdoctor%2Fmaasoomeh-mehboodi%2FMLjxdP</t>
  </si>
  <si>
    <t>https://adserver.doctoreto.com/www/images/1ebaaaabb45a0759491dee721d192c32.webp</t>
  </si>
  <si>
    <t>1404/10/08</t>
  </si>
  <si>
    <t>1405/01/08</t>
  </si>
  <si>
    <t>Dr - Roshanak ghavas</t>
  </si>
  <si>
    <t>Dr - Roshanak Ghavas</t>
  </si>
  <si>
    <t>https://adserver.doctoreto.com/www/delivery/cl.php?bannerid=647&amp;zoneid=0&amp;log=no&amp;sig=ac97c8abcd6778efce2c74ce69e92084a7cae417d269ff1f241ae1d565e1f5b4&amp;dest=https%3A%2F%2Fdoctoreto.com%2Fdoctor%2Fdr-rowshanak-ghavvas-owhadi%2FGnBdmd</t>
  </si>
  <si>
    <t>https://adserver.doctoreto.com/www/images/a30fb9aacf5ec600fd189b04956ef1a2.jpg</t>
  </si>
  <si>
    <t>1405/03/10</t>
  </si>
  <si>
    <t>1405/06/10</t>
  </si>
  <si>
    <t>Dr - Shirin - Moghimi</t>
  </si>
  <si>
    <t>Dr Shirin Moghimi</t>
  </si>
  <si>
    <t>https://adserver.doctoreto.com/www/delivery/cl.php?bannerid=522&amp;zoneid=0&amp;log=no&amp;sig=2eb51a6504ac3f31ebfd53304e87f559802db931ee24b26b045f34555b04ddca&amp;dest=https%3A%2F%2Fdoctoreto.com%2Fdoctor%2Fdr-shirin-moghimi%2FqdlAKp</t>
  </si>
  <si>
    <t>https://adserver.doctoreto.com/www/images/5a043b3e422492214f24b132980dc0c0.webp</t>
  </si>
  <si>
    <t>1405/04/10</t>
  </si>
  <si>
    <t>1405/07/10</t>
  </si>
  <si>
    <t>DR Ali NaserBakhT</t>
  </si>
  <si>
    <t>DR NaserBakhT</t>
  </si>
  <si>
    <t>https://adserver.doctoreto.com/www/delivery/cl.php?bannerid=701&amp;zoneid=0&amp;log=no&amp;sig=441e69c959aeff1b8fa066fa72b44db4cb426a41af3a37a9c70b8173a3d2991f&amp;dest=https%3A%2F%2Fdoctoreto.com%2Fdoctor%2Fdr-ali-naser-bakht%2FGDmvvM</t>
  </si>
  <si>
    <t>https://adserver.doctoreto.com/www/images/3fe8e8e1c22a5a9491ecc16e32a75913.gif</t>
  </si>
  <si>
    <t>Dr NaserBakht LeaderBoard</t>
  </si>
  <si>
    <t>https://adserver.doctoreto.com/www/delivery/cl.php?bannerid=721&amp;zoneid=0&amp;log=no&amp;sig=54fc19e54018b3d8b036b9408f23793cca6b970b47f784b83e59e49e4e8d952a&amp;dest=https%3A%2F%2Fdoctoreto.com%2Fdoctor%2Fdr-ali-naser-bakht%2FGDmvvM</t>
  </si>
  <si>
    <t>https://adserver.doctoreto.com/www/images/8eefa0bf75aa9e297bc58b9676c4b42f.gif</t>
  </si>
  <si>
    <t>DR Ali Saeedi</t>
  </si>
  <si>
    <t>Dr Ali Saeedi</t>
  </si>
  <si>
    <t>https://adserver.doctoreto.com/www/delivery/cl.php?bannerid=742&amp;zoneid=0&amp;log=no&amp;sig=c8cfdda714123f111dded2cb1726b0723b4b923918ad2e9bfee4288c4d7ff875&amp;dest=https%3A%2F%2Fdoctoreto.com%2Fdoctor%2Fdr-ali-saeidi%2FGxbJLZ</t>
  </si>
  <si>
    <t>https://adserver.doctoreto.com/www/images/0896edcd67ed7cf9420169d0541d5c7f.gif</t>
  </si>
  <si>
    <t>1405/04/02</t>
  </si>
  <si>
    <t>1405/07/02</t>
  </si>
  <si>
    <t>Dr Amir Azizi</t>
  </si>
  <si>
    <t>https://adserver.doctoreto.com/www/delivery/cl.php?bannerid=763&amp;zoneid=0&amp;log=no&amp;sig=57b0a831138eb3a70b70d278f495e97f3a799403cbc1bc45244c7c25dc40a37f&amp;dest=https%3A%2F%2Fdoctoreto.com%2Fdoctor%2Fdr-amir-azizii%2FMmzgdO</t>
  </si>
  <si>
    <t>https://adserver.doctoreto.com/www/images/8fcb7e425f67d18a485d4113e09abc8c.gif</t>
  </si>
  <si>
    <t>1405/04/08</t>
  </si>
  <si>
    <t>1405/07/08</t>
  </si>
  <si>
    <t>Dr Aref Fatehi</t>
  </si>
  <si>
    <t>DR Aref Fatehi</t>
  </si>
  <si>
    <t>https://adserver.doctoreto.com/www/delivery/cl.php?bannerid=1152&amp;zoneid=0&amp;log=no&amp;sig=7a2a5ac05acb5a72d12c2c7854790b39f9bb6e471d9705ad63aa9a5e076ccd5e&amp;dest=https%3A%2F%2Fdoctoreto.com%2Fdoctor%2Fdr-aref-fatehi%2FMWLmnZ</t>
  </si>
  <si>
    <t>https://adserver.doctoreto.com/www/images/08e2d41645191b0360098de47bfe59b7.gif</t>
  </si>
  <si>
    <t>1405/05/30</t>
  </si>
  <si>
    <t>1405/08/30</t>
  </si>
  <si>
    <t>Dr AssaEi</t>
  </si>
  <si>
    <t>Dr Asaei</t>
  </si>
  <si>
    <t>https://adserver.doctoreto.com/www/delivery/cl.php?bannerid=1172&amp;zoneid=0&amp;log=no&amp;sig=0d0a17b75dfd24418b5078bd952e800c98287db76d3646461f8ff48c141ba62d&amp;dest=https%3A%2F%2Fdoctoreto.com%2Fdoctor%2Fdr-seyed-hamid-asaei%2FqjxDJM</t>
  </si>
  <si>
    <t>https://adserver.doctoreto.com/www/images/584855956a8862081c65f0c53c482205.gif</t>
  </si>
  <si>
    <t>1405/05/31</t>
  </si>
  <si>
    <t>DR Ata Heydari</t>
  </si>
  <si>
    <t>Dr Ata Heydari</t>
  </si>
  <si>
    <t>https://adserver.doctoreto.com/www/delivery/cl.php?bannerid=557&amp;zoneid=0&amp;log=no&amp;sig=7f58823f66fb3542e45b94d3e4f5229a914351580410eb9f49acfa7a25aeac77&amp;dest=https%3A%2F%2Fdoctoreto.com%2Fdoctor%2Fdr-ata-allah-heydari%2FGQaAvG</t>
  </si>
  <si>
    <t>https://adserver.doctoreto.com/www/images/1b3c57ec008a30b74d0946a4e88f8891.webp</t>
  </si>
  <si>
    <t>Dr Atefe Faramarzi</t>
  </si>
  <si>
    <t>Dr Atefe Faramarzi PLP</t>
  </si>
  <si>
    <t>https://adserver.doctoreto.com/www/delivery/cl.php?bannerid=1115&amp;zoneid=0&amp;log=no&amp;sig=ab3546326e50c72085d77a1e84b732c7cb897f563d30b6d22622314591238188&amp;dest=https%3A%2F%2Fdoctoreto.com%2Fdoctor%2Fdr-atefeh-faramarzi%2FGnJaPG</t>
  </si>
  <si>
    <t>https://adserver.doctoreto.com/www/images/4f71909ccee7bc35f0480c075a948488.gif</t>
  </si>
  <si>
    <t>1405/05/12</t>
  </si>
  <si>
    <t>1405/08/12</t>
  </si>
  <si>
    <t>DR Azadeh Khalajian</t>
  </si>
  <si>
    <t>DR Azadeh KhalaJian</t>
  </si>
  <si>
    <t>https://adserver.doctoreto.com/www/delivery/cl.php?bannerid=731&amp;zoneid=0&amp;log=no&amp;sig=3cbbfaa372ead48a505abd82774a8df655e7362c84aa47f7d3989972347e68f9&amp;dest=https%3A%2F%2Fdoctoreto.com%2Fdoctor%2Fdr-azadeh-khalajian%2FMkAPOq</t>
  </si>
  <si>
    <t>https://adserver.doctoreto.com/www/images/d9e092b9849657c181499a8c1465a8b6.gif</t>
  </si>
  <si>
    <t>Dr Azadeh MirMaasoumi</t>
  </si>
  <si>
    <t>DR Azadeh MiRmaasoumi</t>
  </si>
  <si>
    <t>https://adserver.doctoreto.com/www/delivery/cl.php?bannerid=758&amp;zoneid=0&amp;log=no&amp;sig=c7a9c374158a2d24e93c9dda0a36a13c98a1a891d5deaaac27f6e4a5e1fdb8be&amp;dest=https%3A%2F%2Fdoctoreto.com%2Fdoctor%2Fdr-fakhralsadat-mirmasoumi%2FZDnARd</t>
  </si>
  <si>
    <t>https://adserver.doctoreto.com/www/images/728928346fc3719e4c80c1a3c3eb84df.gif</t>
  </si>
  <si>
    <t>Dr Azhie</t>
  </si>
  <si>
    <t>Copy of Dr Azhie BLOG</t>
  </si>
  <si>
    <t>https://adserver.doctoreto.com/www/delivery/cl.php?bannerid=1247&amp;zoneid=0&amp;log=no&amp;sig=8d37ac7eb6cb84e22d05199e3a297078cc2f5263ff5dfdae52fd49a05ed0b790&amp;dest=https%3A%2F%2Fdoctoreto.com%2Fdoctor%2Fdr-firooz-ejieh%2FMlNjBq</t>
  </si>
  <si>
    <t>https://adserver.doctoreto.com/www/images/e8a6b1fe2d4f4c0962e6e83461ae57de.png</t>
  </si>
  <si>
    <t>Dr Elahe Keshavarzi</t>
  </si>
  <si>
    <t>https://adserver.doctoreto.com/www/delivery/cl.php?bannerid=520&amp;zoneid=0&amp;log=no&amp;sig=43136aef5b0575191f34524e01ad24dcb63eee1693cde38190b0c0e1044c5355&amp;dest=https%3A%2F%2Fdoctoreto.com%2Fdoctor%2Felahe-keshavarzi%2FGXkNbm</t>
  </si>
  <si>
    <t>https://adserver.doctoreto.com/www/images/5a8a180938f71ebad3b66da5746c3967.webp</t>
  </si>
  <si>
    <t>DR Farzane FereyDouni</t>
  </si>
  <si>
    <t>Dr FereyDouni</t>
  </si>
  <si>
    <t>https://adserver.doctoreto.com/www/delivery/cl.php?bannerid=1178&amp;zoneid=0&amp;log=no&amp;sig=852b6d19beffede9abd5f50e6ababceef692f76b9657f063467f35fa86249ac7&amp;dest=https%3A%2F%2Fdoctoreto.com%2Fdoctor%2Fdr-farzaneh-fereydoni%2FMNmzvG</t>
  </si>
  <si>
    <t>https://adserver.doctoreto.com/www/images/b7b9da6e62b152f0713df8989667a51f.gif</t>
  </si>
  <si>
    <t>Dr Helia ShayanFar</t>
  </si>
  <si>
    <t>https://adserver.doctoreto.com/www/delivery/cl.php?bannerid=507&amp;zoneid=0&amp;log=no&amp;sig=92da1b079274247d18ed94f64218be84582c9c5cb73905f1c6f291bd431febb7&amp;dest=https%3A%2F%2Fdoctoreto.com%2Fdoctor%2Fdr-helia-shayan-far%2FMRoQYZ%3FsearchedFrom%3DhomeAutoFill</t>
  </si>
  <si>
    <t>https://adserver.doctoreto.com/www/images/ca7b896b810161850c22621bf576f2ba.webp</t>
  </si>
  <si>
    <t>Dr Homa Sharifi</t>
  </si>
  <si>
    <t>https://adserver.doctoreto.com/www/delivery/cl.php?bannerid=519&amp;zoneid=0&amp;log=no&amp;sig=a5685c4f29c4f45aa7ffcf7c7acc53ed9f4490307d418dad63b0685259989a51&amp;dest=https%3A%2F%2Fdoctoreto.com%2Fdoctor%2Fdr-homa-mohamad-sharifi%2FMNBzNr</t>
  </si>
  <si>
    <t>https://adserver.doctoreto.com/www/images/41545108844e6cc1bb058d658a970dab.webp</t>
  </si>
  <si>
    <t>Dr Hossein AdlKhoo</t>
  </si>
  <si>
    <t>Dr Hossein AdlKhoo PLP</t>
  </si>
  <si>
    <t>https://adserver.doctoreto.com/www/delivery/cl.php?bannerid=845&amp;zoneid=0&amp;log=no&amp;sig=981bd7ac55bd06069d82dbec7e5c658f2fedcea08ae3f524af8304e5a3138a67&amp;dest=https%3A%2F%2Fdoctoreto.com%2Fdoctor%2Fdr-hosein-adl-khoo%2FqjdJEO</t>
  </si>
  <si>
    <t>https://adserver.doctoreto.com/www/images/ddd754ab6265860c5736cca0516e1405.gif</t>
  </si>
  <si>
    <t>1405/04/20</t>
  </si>
  <si>
    <t>1405/07/20</t>
  </si>
  <si>
    <t>DR Hossein Keramati</t>
  </si>
  <si>
    <t>Dr Hossein KeramaTi</t>
  </si>
  <si>
    <t>https://adserver.doctoreto.com/www/delivery/cl.php?bannerid=544&amp;zoneid=0&amp;log=no&amp;sig=28f8d5d39f5c40256be1b879267fe6cffae27efcff303ca2a8356c1c2b26b2ed&amp;dest=https%3A%2F%2Fdoctoreto.com%2Fdoctor%2Fdr-hosein-keramati%2FjZwawG</t>
  </si>
  <si>
    <t>https://adserver.doctoreto.com/www/images/9acd5b90ded12d8d2c28cc0928552dce.webp</t>
  </si>
  <si>
    <t>Dr Khosrow Barkhordari</t>
  </si>
  <si>
    <t>Dr Barkhordari Lift</t>
  </si>
  <si>
    <t>https://adserver.doctoreto.com/www/delivery/cl.php?bannerid=741&amp;zoneid=0&amp;log=no&amp;sig=c5d7ad46b59a6d9b7ec2fc4aa40522c33d188f306cf470a94b13ac2a1f0185fa&amp;dest=https%3A%2F%2Fdoctoreto.com%2Fdoctor%2Fdr-khusrav-barkhordari%2FZaNLvg</t>
  </si>
  <si>
    <t>https://adserver.doctoreto.com/www/images/21cfd2242140e4d09ee32073177d5ec3.gif</t>
  </si>
  <si>
    <t>Dr Barkhordari REinoo</t>
  </si>
  <si>
    <t>https://adserver.doctoreto.com/www/delivery/cl.php?bannerid=736&amp;zoneid=0&amp;log=no&amp;sig=d427fc354b593e086139d990bd9b000764c4ec8816c2bac55dfdc0303f642c8c&amp;dest=https%3A%2F%2Fdoctoreto.com%2Fdoctor%2Fdr-khusrav-barkhordari%2FZaNLvg</t>
  </si>
  <si>
    <t>https://adserver.doctoreto.com/www/images/569e8543352ad6a7c6cd2dc25cab8871.gif</t>
  </si>
  <si>
    <t>Dr Koroush Mirtaghi</t>
  </si>
  <si>
    <t>DR MirtaGHi</t>
  </si>
  <si>
    <t>https://adserver.doctoreto.com/www/delivery/cl.php?bannerid=726&amp;zoneid=0&amp;log=no&amp;sig=1b13064425dd52c33a2069a34a518d148e9689297948b867c7b6750319d262d0&amp;dest=https%3A%2F%2Fdoctoreto.com%2Fdoctor%2Fdr-seyyed-kourosh-mirtaghi%2FMlVxnQ</t>
  </si>
  <si>
    <t>https://adserver.doctoreto.com/www/images/e2881a150bda5f6fd85cbb7eced861e4.gif</t>
  </si>
  <si>
    <t>1405/03/30</t>
  </si>
  <si>
    <t>1405/06/30</t>
  </si>
  <si>
    <t>Dr Leyla AsgarPour</t>
  </si>
  <si>
    <t>Dr Leyla AsgarPour PLP</t>
  </si>
  <si>
    <t>https://adserver.doctoreto.com/www/delivery/cl.php?bannerid=674&amp;zoneid=0&amp;log=no&amp;sig=47ab01c030731b48d56cf8fd6545761158e0802051dbda91592b50a204928445&amp;dest=https%3A%2F%2Fdoctoreto.com%2Fdoctor%2Fdr-leyla-asgar-pour%2FMdyOBZ</t>
  </si>
  <si>
    <t>https://adserver.doctoreto.com/www/images/3d2a6111a30a2c2a2f5387ea49545fc9.gif</t>
  </si>
  <si>
    <t>1405/03/18</t>
  </si>
  <si>
    <t>1405/06/18</t>
  </si>
  <si>
    <t>DR Lotfali NorouZi</t>
  </si>
  <si>
    <t>Dr Norouzi</t>
  </si>
  <si>
    <t>https://adserver.doctoreto.com/www/delivery/cl.php?bannerid=613&amp;zoneid=0&amp;log=no&amp;sig=bdabf1dd36ef4e4e213f510cdfe6e8c9499d1cadf96e3ba26dccdf06c053f209&amp;dest=https%3A%2F%2Fdoctoreto.com%2Fdoctor%2Fdr-lotfali-norozi%2FGJDaVZ</t>
  </si>
  <si>
    <t>https://adserver.doctoreto.com/www/images/fee1fa2e2b40ed1ad36e3326adea3df0.gif</t>
  </si>
  <si>
    <t>Dr Maryam Izadi</t>
  </si>
  <si>
    <t>https://adserver.doctoreto.com/www/delivery/cl.php?bannerid=990&amp;zoneid=0&amp;log=no&amp;sig=eeffaac62bb01db1cc26206de7f13c8a0b1f6f48e6219860a34312cce513408a&amp;dest=https%3A%2F%2Fdoctoreto.com%2Fdoctor%2Fdr-maryam-izadi%2FqBDBbM</t>
  </si>
  <si>
    <t>https://adserver.doctoreto.com/www/images/b5090675ead73ab2446661e6afecaccb.png</t>
  </si>
  <si>
    <t>DR Mehdi Soleimani</t>
  </si>
  <si>
    <t>Dr Mehdi Soleimani</t>
  </si>
  <si>
    <t>https://adserver.doctoreto.com/www/delivery/cl.php?bannerid=526&amp;zoneid=0&amp;log=no&amp;sig=fcb20afac60943cd6d05ff9d35b675b62d0f3dbf583acd3450e98695c4ea58a7&amp;dest=https%3A%2F%2Fdoctoreto.com%2Fdoctor%2Fdr-mohammad-mehdi-soleimani%2FMNYYJG%3FsearchedFrom%3DheaderAutoFill</t>
  </si>
  <si>
    <t>https://adserver.doctoreto.com/www/images/8780a5332e132d11047fbc9d2566f467.webp</t>
  </si>
  <si>
    <t>Dr MirBoLook</t>
  </si>
  <si>
    <t>Dr AhmadReza MirBoLook</t>
  </si>
  <si>
    <t>https://adserver.doctoreto.com/www/delivery/cl.php?bannerid=768&amp;zoneid=0&amp;log=no&amp;sig=3498a8478bb68fb6d38996f5fd1587aab38d4788964feb5dd8954ae5ce7d21ce&amp;dest=https%3A%2F%2Fdoctoreto.com%2Fdoctor%2Fdr-ahmad-reza-mir-bolouk%2FGQNpzM</t>
  </si>
  <si>
    <t>https://adserver.doctoreto.com/www/images/b57779c0e6c645d3a4284fdf560a2090.gif</t>
  </si>
  <si>
    <t>DR Mohammad Montaseri</t>
  </si>
  <si>
    <t>DR Montaseri</t>
  </si>
  <si>
    <t>https://adserver.doctoreto.com/www/delivery/cl.php?bannerid=661&amp;zoneid=0&amp;log=no&amp;sig=a49d34fcba503a65d3fdd40c1ab6ebbf4fa016bb60696bbfe5b7626277d35237&amp;dest=https%3A%2F%2Fdoctoreto.com%2Fdoctor%2Fdr-mohammad-montaseri%2FqElzrR</t>
  </si>
  <si>
    <t>https://adserver.doctoreto.com/www/images/fc1cb2d45c5f977219c1f1b22f0a78c6.gif</t>
  </si>
  <si>
    <t>1405/03/16</t>
  </si>
  <si>
    <t>1405/06/16</t>
  </si>
  <si>
    <t>Dr Mokhtare</t>
  </si>
  <si>
    <t>Dr Mokhtare PLP</t>
  </si>
  <si>
    <t>https://adserver.doctoreto.com/www/delivery/cl.php?bannerid=1055&amp;zoneid=0&amp;log=no&amp;sig=153cf982670823409bd1ed7a902b5592a263bd4471a02038172a40b8db914753&amp;dest=https%3A%2F%2Fdoctoreto.com%2Fdoctor%2Fdr-mohammad-hasan-mokhtara%2FZDBbna</t>
  </si>
  <si>
    <t>https://adserver.doctoreto.com/www/images/9de9281f37f68a7c3f36e7ba994b0203.gif</t>
  </si>
  <si>
    <t>1405/05/05</t>
  </si>
  <si>
    <t>1405/08/05</t>
  </si>
  <si>
    <t>Dr Nafise SadeghZadeh</t>
  </si>
  <si>
    <t>Dr Nafise SadeghZadeh PLP</t>
  </si>
  <si>
    <t>https://adserver.doctoreto.com/www/delivery/cl.php?bannerid=678&amp;zoneid=0&amp;log=no&amp;sig=f837b70fc9bcc04b4323d4fd3d5b094f9f84eda5228a65b76478276e349ff90e&amp;dest=https%3A%2F%2Fdoctoreto.com%2Fdoctor%2Fdr-nafiseh-sadeghzadeh%2FZwBPNA</t>
  </si>
  <si>
    <t>https://adserver.doctoreto.com/www/images/8d50379013216e2930b0c11e2099914c.gif</t>
  </si>
  <si>
    <t>Dr Neda Jaafari</t>
  </si>
  <si>
    <t>https://adserver.doctoreto.com/www/delivery/cl.php?bannerid=1167&amp;zoneid=0&amp;log=no&amp;sig=c7873845251853e090187d6c1c6ce433627c8e8485d4ee5fc2dee91aa6bfa250&amp;dest=https%3A%2F%2Fdoctoreto.com%2Fdoctor%2Fdr-neda-jafari%2FMRKPkZ</t>
  </si>
  <si>
    <t>https://adserver.doctoreto.com/www/images/9bdddea00c8ad97974ba0d7c12bfd0f4.png</t>
  </si>
  <si>
    <t>Dr Zahedi</t>
  </si>
  <si>
    <t>https://adserver.doctoreto.com/www/delivery/cl.php?bannerid=1197&amp;zoneid=0&amp;log=no&amp;sig=2691b6f83608f06883d775ad07e2542f5a3c62eb31d0c81639c6d9b1f579a56a&amp;dest=https%3A%2F%2Fdoctoreto.com%2Fdoctor%2Fdr-alireza-zahedi-nasab%2FmMLnrq</t>
  </si>
  <si>
    <t>https://adserver.doctoreto.com/www/images/4539360bb723e0412064c58564f4b3e3.gif</t>
  </si>
  <si>
    <t>Dr Zarin BadiNi</t>
  </si>
  <si>
    <t>Dr Zarin BadiNi 01</t>
  </si>
  <si>
    <t>https://adserver.doctoreto.com/www/delivery/cl.php?bannerid=1025&amp;zoneid=0&amp;log=no&amp;sig=aaadfcecbe606b7984e7c7ff3f13c9106eba20b42e163cd5051537e615d9d4e1&amp;dest=https%3A%2F%2Fdoctoreto.com%2Fdoctor%2Fdr-zarin-badini%2FZpDDwg</t>
  </si>
  <si>
    <t>https://adserver.doctoreto.com/www/images/f97a3a2ac2e2bdf39ffc6b928d324c84.gif</t>
  </si>
  <si>
    <t>1405/05/04</t>
  </si>
  <si>
    <t>1405/08/04</t>
  </si>
  <si>
    <t>Dr Zarin BadiNi 02</t>
  </si>
  <si>
    <t>https://adserver.doctoreto.com/www/delivery/cl.php?bannerid=1030&amp;zoneid=0&amp;log=no&amp;sig=b5737b4b0cc8ec55bae2ed5b43b02171db7b40d4262655802839b18d2c8b76be&amp;dest=https%3A%2F%2Fdoctoreto.com%2Fdoctor%2Fdr-zarin-badini%2FZpDDwg</t>
  </si>
  <si>
    <t>https://adserver.doctoreto.com/www/images/2e491e11fda84d49d9a1f9382a5a79b9.gif</t>
  </si>
  <si>
    <t>Dr Zarin BadiNi 03</t>
  </si>
  <si>
    <t>https://adserver.doctoreto.com/www/delivery/cl.php?bannerid=1035&amp;zoneid=0&amp;log=no&amp;sig=a628bafa6c2c62f59865a4e68b01b5b9427dcc65eea35cb99e19bc83f8f54252&amp;dest=https%3A%2F%2Fdoctoreto.com%2Fdoctor%2Fdr-zarin-badini%2FZpDDwg</t>
  </si>
  <si>
    <t>https://adserver.doctoreto.com/www/images/fe527d2f8bd697869ab6bc98035df585.gif</t>
  </si>
  <si>
    <t>Dr Zarin BadiNi 04</t>
  </si>
  <si>
    <t>https://adserver.doctoreto.com/www/delivery/cl.php?bannerid=1040&amp;zoneid=0&amp;log=no&amp;sig=ec4bf215edd4b51546107e37b1f917559ee94493277661cbd2f06b49a71d7063&amp;dest=https%3A%2F%2Fdoctoreto.com%2Fdoctor%2Fdr-zarin-badini%2FZpDDwg</t>
  </si>
  <si>
    <t>https://adserver.doctoreto.com/www/images/ad9187345b342cf95944e17fb403b1aa.gif</t>
  </si>
  <si>
    <t>Dr Zarin BadiNi 05</t>
  </si>
  <si>
    <t>https://adserver.doctoreto.com/www/delivery/cl.php?bannerid=1045&amp;zoneid=0&amp;log=no&amp;sig=3aedf06774610f07e301a5f1a103eb0602fc000a9b3dbff4320ae17b02570636&amp;dest=https%3A%2F%2Fdoctoreto.com%2Fdoctor%2Fdr-zarin-badini%2FZpDDwg</t>
  </si>
  <si>
    <t>https://adserver.doctoreto.com/www/images/e588c5daff850e3bfcdccf6de8049a51.gif</t>
  </si>
  <si>
    <t>DR Zeynab Tavana</t>
  </si>
  <si>
    <t>Dr_ ZeyNab _ Tavana</t>
  </si>
  <si>
    <t>https://adserver.doctoreto.com/www/delivery/cl.php?bannerid=587&amp;zoneid=0&amp;log=no&amp;sig=a1737ec8906d083770e2d705fe788b84e13067c3cc34ea73069fae712ba084fe&amp;dest=https%3A%2F%2Fdoctoreto.com%2Fdoctor%2Fdr-zeynab-tavana%2FMoBzmy</t>
  </si>
  <si>
    <t>https://adserver.doctoreto.com/www/images/8ce2b8f13d6ba9d1160cc59d98692940.gif</t>
  </si>
  <si>
    <t>1405/05/19</t>
  </si>
  <si>
    <t>1405/08/19</t>
  </si>
  <si>
    <t>Dr. Amir Bastani</t>
  </si>
  <si>
    <t>https://adserver.doctoreto.com/www/delivery/cl.php?bannerid=370&amp;zoneid=0&amp;log=no&amp;sig=359c9f3c5a77055536fe086e58f75bd1c38c890d7ee15ef9a99ec78cea3fff54&amp;dest=https%3A%2F%2Fdoctoreto.com%2Fdoctor%2Fdr-amir-bastani%2FMmKNyV</t>
  </si>
  <si>
    <t>https://adserver.doctoreto.com/www/images/251cdf23749268b803256fb13fedff63.webp</t>
  </si>
  <si>
    <t>Dr. Fahime Bayati</t>
  </si>
  <si>
    <t>fahime bayati</t>
  </si>
  <si>
    <t>https://adserver.doctoreto.com/www/delivery/cl.php?bannerid=413&amp;zoneid=0&amp;log=no&amp;sig=68c1cca985856eb169934cb2b219a315861558136b503287b766f14bdbd40cb6&amp;dest=https%3A%2F%2Fdoctoreto.com%2Fdoctor%2Fdr-fahime-bayati%2FMNvEBB</t>
  </si>
  <si>
    <t>https://adserver.doctoreto.com/www/images/d00c38b99ee55b393cb35ee0d778a098.webp</t>
  </si>
  <si>
    <t>Dr. Farshad Sadeghi</t>
  </si>
  <si>
    <t>Dr Sadeghi Afsordegi</t>
  </si>
  <si>
    <t>https://adserver.doctoreto.com/www/delivery/cl.php?bannerid=542&amp;zoneid=0&amp;log=no&amp;sig=0deff1a5419e66efb7522354dffd36410f293dd641b6df228fbe3ff63b91d94f&amp;dest=https%3A%2F%2Fdoctoreto.com%2Fdoctor%2Fdr-farshad-sadeghi%2FZpjLPG</t>
  </si>
  <si>
    <t>https://adserver.doctoreto.com/www/images/7af43c5e49af60fad159b22d8bfb4e68.webp</t>
  </si>
  <si>
    <t>https://adserver.doctoreto.com/www/delivery/cl.php?bannerid=460&amp;zoneid=0&amp;log=no&amp;sig=182da98e8fa9d0ecfc9869b05147fde42a0dd8c2ae889d5b292b1a62b05db724&amp;dest=https%3A%2F%2Fdoctoreto.com%2Fdoctor%2Fdr-farshad-sadeghi%2FZpjLPG</t>
  </si>
  <si>
    <t>https://adserver.doctoreto.com/www/images/a1d055e28647d5700c00c6dc070993dc.webp</t>
  </si>
  <si>
    <t>Dr. Ghazi</t>
  </si>
  <si>
    <t>https://adserver.doctoreto.com/www/delivery/cl.php?bannerid=246&amp;zoneid=0&amp;log=no&amp;sig=f1498d0046d372e3e74254621609ebc4b892e6b2e75867963003fd4ca4f96df0&amp;dest=https%3A%2F%2Fdoctoreto.com%2Fdoctor%2Fdr-mahdi-ghazi%2FMdXoYM</t>
  </si>
  <si>
    <t>https://adserver.doctoreto.com/www/images/149c8fcf96bd0ff6fbebf7d2ff6dae06.png</t>
  </si>
  <si>
    <t>Dr. Ghazi Mobile</t>
  </si>
  <si>
    <t>https://adserver.doctoreto.com/www/delivery/cl.php?bannerid=247&amp;zoneid=0&amp;log=no&amp;sig=342cea818478d18abe9b11f84f7a51bd4586f08c91eaca2f01aae05360d616fd&amp;dest=https%3A%2F%2Fdoctoreto.com%2Fdoctor%2Fdr-mahdi-ghazi%2FMdXoYM</t>
  </si>
  <si>
    <t>https://adserver.doctoreto.com/www/images/7b2f1f6c92c0f8e82f553b1f5e3e5cb1.png</t>
  </si>
  <si>
    <t>PLP</t>
  </si>
  <si>
    <t>https://adserver.doctoreto.com/www/delivery/cl.php?bannerid=313&amp;zoneid=0&amp;log=no&amp;sig=2316f0d11278d90cfdb500adc073da9cdd79041c8daa5f13b3217d25c889accc&amp;dest=https%3A%2F%2Fdoctoreto.com%2Fcenter%2Fdr-ghazi-clinic%2FAjNeEe%3FdoctorsSpecialitySlug%3Durologist%26_gl%3D1%2Aug0535%2A_gcl_au%2AMTI0NTI5Njg5MS4xNzUxODY1ODI0</t>
  </si>
  <si>
    <t>https://adserver.doctoreto.com/www/images/a00e83d9604bffdecdb88170a92459a9.png</t>
  </si>
  <si>
    <t>Dr. Hadi Mansouri</t>
  </si>
  <si>
    <t>Dr Mohammad Hadi Mansouri</t>
  </si>
  <si>
    <t>https://adserver.doctoreto.com/www/delivery/cl.php?bannerid=789&amp;zoneid=0&amp;log=no&amp;sig=fcfb624e1c8a89ffbad679eb90f5e315f442ed435bd0ce3d1925d219173f5d3b&amp;dest=https%3A%2F%2Fdoctoreto.com%2Fdoctor%2Fdr-mohammad-hadi-mansoori%2FGQDpDq</t>
  </si>
  <si>
    <t>https://adserver.doctoreto.com/www/images/ecd2425596cd95ce65a4958b4088cd86.gif</t>
  </si>
  <si>
    <t>https://adserver.doctoreto.com/www/delivery/cl.php?bannerid=368&amp;zoneid=0&amp;log=no&amp;sig=76ad1b47abf3aa99b04bd2e485763cac1ac9b7c98cc5bea2c5a22354835804be&amp;dest=https%3A%2F%2Fdoctoreto.com%2Fdoctor%2Fdr-mohammad-hadi-mansoori%2FGQDpDq</t>
  </si>
  <si>
    <t>https://adserver.doctoreto.com/www/images/0bc65ec55ab4c2d25541d90724c006cb.webp</t>
  </si>
  <si>
    <t>Dr. Hengame Mehrfar</t>
  </si>
  <si>
    <t>Mehrfar plp</t>
  </si>
  <si>
    <t>https://adserver.doctoreto.com/www/delivery/cl.php?bannerid=326&amp;zoneid=0&amp;log=no&amp;sig=74f23ac7632804b0c93c6d29dd4879cf1a68cebaca52f0dbc954af4f4a170209&amp;dest=https%3A%2F%2Fdoctoreto.com%2Fdoctor%2Fdr-hengameh-mehrfar%2FqgXdvG</t>
  </si>
  <si>
    <t>https://adserver.doctoreto.com/www/images/5b7721bab09cb3a8221553f7fddeb69e.gif</t>
  </si>
  <si>
    <t>Dr. Izadpanah</t>
  </si>
  <si>
    <t>DR IzadPanah Echo</t>
  </si>
  <si>
    <t>https://adserver.doctoreto.com/www/delivery/cl.php?bannerid=555&amp;zoneid=0&amp;log=no&amp;sig=048dd939ab043f3c5257d6be2d5ff79dd8eef43dcdb1272accb34a3bdee39745&amp;dest=https%3A%2F%2Fdoctoreto.com%2Fdoctor%2F6548e1c709092%2FMEldeR</t>
  </si>
  <si>
    <t>https://adserver.doctoreto.com/www/images/820c23546347c822d12e1c824e712235.webp</t>
  </si>
  <si>
    <t>https://adserver.doctoreto.com/www/delivery/cl.php?bannerid=451&amp;zoneid=0&amp;log=no&amp;sig=4164aefcf05d6b514c9cf817c19969c3e7fe58c900b816bc689161243f60b710&amp;dest=https%3A%2F%2Fdoctoreto.com%2Fdoctor%2F6548e1c709092%2FMEldeR%3FsearchedFrom%3DheaderAutoFill</t>
  </si>
  <si>
    <t>https://adserver.doctoreto.com/www/images/581c51e1c1d57d3f61aa1869dd3ee99e.webp</t>
  </si>
  <si>
    <t>Dr. Kartalayi</t>
  </si>
  <si>
    <t>dr. kartalayi</t>
  </si>
  <si>
    <t>https://adserver.doctoreto.com/www/delivery/cl.php?bannerid=376&amp;zoneid=0&amp;log=no&amp;sig=0516935c4f7cc98e6e6608df8006824c604848c2b3a07eb301c7b23f29d238ca&amp;dest=https%3A%2F%2Fdoctoreto.com%2Fdoctor%2Fdr-mozhde-mohammadi-kortalaee%2FZewxXG</t>
  </si>
  <si>
    <t>https://adserver.doctoreto.com/www/images/298541812074c841525b6d7e68dfc2fa.webp</t>
  </si>
  <si>
    <t>Dr. Mayryam Farokhshahi</t>
  </si>
  <si>
    <t>Dr. Maryam Farokhshahi</t>
  </si>
  <si>
    <t>https://adserver.doctoreto.com/www/delivery/cl.php?bannerid=439&amp;zoneid=0&amp;log=no&amp;sig=dcd7cbc52d83467a762b1266ce95dc16aacda2ac1d8579b2464f6f20328b7eca&amp;dest=https%3A%2F%2Fdoctoreto.com%2Fdoctor%2Fdr-maryam-farrokhshahi%2FMWvXEK</t>
  </si>
  <si>
    <t>https://adserver.doctoreto.com/www/images/08cd30b6bee19b3810448f15deee3152.webp</t>
  </si>
  <si>
    <t>Dr. Mohammad Borzoyi</t>
  </si>
  <si>
    <t>dr. borzoyi</t>
  </si>
  <si>
    <t>https://adserver.doctoreto.com/www/delivery/cl.php?bannerid=380&amp;zoneid=0&amp;log=no&amp;sig=edf1cc6d3a6f4b037f99ad8b8f8066506f1dc996d5cc8d5f1014a4d4a6845fa3&amp;dest=https%3A%2F%2Fdoctoreto.com%2Fdoctor%2Fdr-mohammad-borzoei%2FqNmBYZ</t>
  </si>
  <si>
    <t>https://adserver.doctoreto.com/www/images/1074737291b02332e0d2549f3637eff4.webp</t>
  </si>
  <si>
    <t>Dr. Natami</t>
  </si>
  <si>
    <t>dr. natami</t>
  </si>
  <si>
    <t>https://adserver.doctoreto.com/www/delivery/cl.php?bannerid=338&amp;zoneid=0&amp;log=no&amp;sig=7dc883a4b11bc8d2971450b40720e65869f9fdfebaa573f8c4b8f55f61c2d9b2&amp;dest=https%3A%2F%2Fdoctoreto.com%2Fdoctor%2Fdr-mohammad-natemi%2FqmjOkG</t>
  </si>
  <si>
    <t>https://adserver.doctoreto.com/www/images/9c9afdc6be66c7d21fcd31dd6cc0794d.webp</t>
  </si>
  <si>
    <t>Dr. Negin Asna Asahari</t>
  </si>
  <si>
    <t>Booshehr banner</t>
  </si>
  <si>
    <t>https://adserver.doctoreto.com/www/delivery/cl.php?bannerid=312&amp;zoneid=0&amp;log=no&amp;sig=780e5ee29e6646ed724e4bc46ea5e2f38611ba54b807661e9ed97b4ce7e18f73&amp;dest=https%3A%2F%2Fdoctoreto.com%2Fdoctor%2Fdr-negin-asnashari%2FMjKEKZ</t>
  </si>
  <si>
    <t>https://adserver.doctoreto.com/www/images/b64bd0c5274d29023c23dc47c572bc1e.webp</t>
  </si>
  <si>
    <t>Dr. Asna Asahari</t>
  </si>
  <si>
    <t>https://adserver.doctoreto.com/www/delivery/cl.php?bannerid=307&amp;zoneid=0&amp;log=no&amp;sig=978509e2052e4f1a6086277017d335c7f9c7d3e522f12d5135aab089c82fd569&amp;dest=https%3A%2F%2Fdoctoreto.com%2Fdoctor%2Fdr-negin-asnashari%2FMjKEKZ</t>
  </si>
  <si>
    <t>https://adserver.doctoreto.com/www/images/a6eaa8895a58784b7c5541e7aae07d04.webp</t>
  </si>
  <si>
    <t>Dr. Sahar Tavakoli</t>
  </si>
  <si>
    <t>Sahar Tavakoli</t>
  </si>
  <si>
    <t>https://adserver.doctoreto.com/www/delivery/cl.php?bannerid=465&amp;zoneid=0&amp;log=no&amp;sig=fa0133fb5ca67bea73fd5c6f7740db187d351c19e6d160801b222d021426113d&amp;dest=https%3A%2F%2Fdoctoreto.com%2Fdoctor%2Fsahar-tavakoli%2FGDkeAq</t>
  </si>
  <si>
    <t>https://adserver.doctoreto.com/www/images/4177dc12f0638bcb5ca37cb9f298546e.webp</t>
  </si>
  <si>
    <t>Dr. Sara Feiz</t>
  </si>
  <si>
    <t>Sara Feyz New Bahman 1404</t>
  </si>
  <si>
    <t>https://adserver.doctoreto.com/www/delivery/cl.php?bannerid=530&amp;zoneid=0&amp;log=no&amp;sig=f85870badc19dfa3d9885c83cd50bc7b71f1a2a5ea5b7c89805e93757daba890&amp;dest=https%3A%2F%2Fdoctoreto.com%2Fdoctor%2Fsara-feyz%2FZJVwVY%3F_gl%3D1%2Aornv09%2A_gcl_aw%2AR0NMLjE3NjkzNDYwNDguQ2owS0NRaUFtOWZMQmhDUUFSSXNBSm9OT2N0a3p0ekxlNi05dTZTRUMwemlhYXc3c1VGY2VTSG9xaXFBajhmSTZCZ09wVnJtXzB5emJCUWFBbmpuRUFMd193Y0I.%2A_gcl_au%2AMTgzNTkxNTczNi4xNzYxOTc1MDk5</t>
  </si>
  <si>
    <t>https://adserver.doctoreto.com/www/images/b3b2d4333af6b6d30d7fa7fafdd6f63a.webp</t>
  </si>
  <si>
    <t>Dr. YazdanShenas</t>
  </si>
  <si>
    <t>Dr YazdanShenas New - Khordad 405</t>
  </si>
  <si>
    <t>https://adserver.doctoreto.com/www/delivery/cl.php?bannerid=670&amp;zoneid=0&amp;log=no&amp;sig=c95b03fb4db66fb7a24819e8b4befd8e8cf4ce2f2c985693199ac618db037d30&amp;dest=https%3A%2F%2Fdoctoreto.com%2Fdoctor%2Fdr-arash-yazdan-shenas%2FMgQVkq</t>
  </si>
  <si>
    <t>https://adserver.doctoreto.com/www/images/cd5f7537e03353c6c4bc0bf44547f410.gif</t>
  </si>
  <si>
    <t>Dr. Yazdan Shenas</t>
  </si>
  <si>
    <t>https://adserver.doctoreto.com/www/delivery/cl.php?bannerid=160&amp;zoneid=0&amp;log=no&amp;sig=ebb8bc9a3a2562e01c154554b3a84d2f4fbb1385589b4dd94bed6f55d59fdd40&amp;dest=https%3A%2F%2Fdoctoreto.com%2Fdoctor%2Fdr-arash-yazdan-shenas%2FMgQVkq</t>
  </si>
  <si>
    <t>https://adserver.doctoreto.com/www/images/034f55ffddd9ec40090dec7b3b226005.webp</t>
  </si>
  <si>
    <t>Dr.Mansour Asna Ashari</t>
  </si>
  <si>
    <t>AsnaAshari</t>
  </si>
  <si>
    <t>https://adserver.doctoreto.com/www/delivery/cl.php?bannerid=254&amp;zoneid=0&amp;log=no&amp;sig=3b3d3fd2485d1eb2a5929377e1285027721f8c6b456dae098f62b882e199d405&amp;dest=https%3A%2F%2Fdoctoreto.com%2Fdoctor%2Fdr-mansur-asna-ashari%2FMoJwVk</t>
  </si>
  <si>
    <t>https://adserver.doctoreto.com/www/images/0cb9efe2abd2a105e5dc0513bb6bf296.webp</t>
  </si>
  <si>
    <t>Energy physiotherapy Clinic</t>
  </si>
  <si>
    <t>energy clinic</t>
  </si>
  <si>
    <t>https://adserver.doctoreto.com/www/delivery/cl.php?bannerid=359&amp;zoneid=0&amp;log=no&amp;sig=2a2d20b727b3d799d65109a6962ee4c19883eef167c3bdfe4ceb0cb9b374bd9e&amp;dest=https%3A%2F%2Fdoctoreto.com%2Fdoctor%2Fsedighe-rezaeeyan%2FMWbKzG</t>
  </si>
  <si>
    <t>https://adserver.doctoreto.com/www/images/eeebddf6ada58108a27cd498ccdad215.gif</t>
  </si>
  <si>
    <t>1405/02/21</t>
  </si>
  <si>
    <t>1405/05/21</t>
  </si>
  <si>
    <t>Farnaz Bagherian</t>
  </si>
  <si>
    <t>https://adserver.doctoreto.com/www/delivery/cl.php?bannerid=590&amp;zoneid=0&amp;log=no&amp;sig=e044136170bbfc50093a04c981db75030e3856f169089cf2710e608aab1870ee&amp;dest=https%3A%2F%2Fdoctoreto.com%2Fdoctor%2Ffarnaz-bagherian%2FMgopAM</t>
  </si>
  <si>
    <t>https://adserver.doctoreto.com/www/images/7395d17bf626911ab67acb9ded0dbf97.gif</t>
  </si>
  <si>
    <t>Farzane Mortazavi Far</t>
  </si>
  <si>
    <t>https://adserver.doctoreto.com/www/delivery/cl.php?bannerid=592&amp;zoneid=0&amp;log=no&amp;sig=e73d639e0e41bff5d10219bc1e7bcae79fb2cbbe68782c684e48551d2bfbb92e&amp;dest=https%3A%2F%2Fdoctoreto.com%2Fdoctor%2Fdr-farzaneh-mortazavi-far%2FGXopoq</t>
  </si>
  <si>
    <t>https://adserver.doctoreto.com/www/images/9af22b1ec2a7d650756283aac18dd812.gif</t>
  </si>
  <si>
    <t>Farzin Khorvash</t>
  </si>
  <si>
    <t>https://adserver.doctoreto.com/www/delivery/cl.php?bannerid=950&amp;zoneid=0&amp;log=no&amp;sig=0e785ae9df456a6279ac096642acd2094799b04d855d6fb9acfdaa20691192ee&amp;dest=https%3A%2F%2Fdoctoreto.com%2Fdoctor%2Fdr-farzin-khorvash%2FMLoBgG</t>
  </si>
  <si>
    <t>https://adserver.doctoreto.com/www/images/304fd55264d28558dd161aa3645559c6.png</t>
  </si>
  <si>
    <t>1405/04/27</t>
  </si>
  <si>
    <t>1405/07/27</t>
  </si>
  <si>
    <t>Fateme Golestani</t>
  </si>
  <si>
    <t>https://adserver.doctoreto.com/www/delivery/cl.php?bannerid=850&amp;zoneid=0&amp;log=no&amp;sig=34d01e02fd1e12633cafb322100407dad611507032563c05947e572ce8b6f8a2&amp;dest=https%3A%2F%2Fdoctoreto.com%2Fdoctor%2Ffateme-golestani%2FGJBDVG</t>
  </si>
  <si>
    <t>https://adserver.doctoreto.com/www/images/29dc019740b7213ea1831d2dfd622ede.gif</t>
  </si>
  <si>
    <t>Giti Lab</t>
  </si>
  <si>
    <t>Giti Lab PDP</t>
  </si>
  <si>
    <t>https://adserver.doctoreto.com/www/delivery/cl.php?bannerid=574&amp;zoneid=0&amp;log=no&amp;sig=e62e0426bfa5ae367ca3cf1541fa2bc3b3fac956308d41a3bd124140e845aa0d&amp;dest=https%3A%2F%2Fdoctoreto.com%2Fcenter%2Fgiti-shiraz-lab%2FMvxmnk</t>
  </si>
  <si>
    <t>https://adserver.doctoreto.com/www/images/476f0b249b6c571ce8c1a90853846a8d.gif</t>
  </si>
  <si>
    <t>1405/03/25</t>
  </si>
  <si>
    <t>Hamed Mahmoudi</t>
  </si>
  <si>
    <t>DR Hamed Mahmoudi</t>
  </si>
  <si>
    <t>https://adserver.doctoreto.com/www/delivery/cl.php?bannerid=611&amp;zoneid=0&amp;log=no&amp;sig=e378ca54a1072bddf5d78855e7b4876642f008feea97d62dfe234bf65340d158&amp;dest=https%3A%2F%2Fdoctoreto.com%2Fdoctor%2Fdr-hamed-mahmoudi-hojghane%2FZXAPrE</t>
  </si>
  <si>
    <t>https://adserver.doctoreto.com/www/images/505ff2245b1754ae6d702fab2bae6ebb.gif</t>
  </si>
  <si>
    <t>1405/05/20</t>
  </si>
  <si>
    <t>DR MahmouDi Implant</t>
  </si>
  <si>
    <t>https://adserver.doctoreto.com/www/delivery/cl.php?bannerid=628&amp;zoneid=0&amp;log=no&amp;sig=c6d0499213aec5a8e91098cc218831e9953de10bc135f70310859eff72dee091&amp;dest=https%3A%2F%2Fdoctoreto.com%2Fdoctor%2Fdr-hamed-mahmoudi-hojghane%2FZXAPrE</t>
  </si>
  <si>
    <t>https://adserver.doctoreto.com/www/images/30725ed868f46647da0a1ae8e6d467ec.gif</t>
  </si>
  <si>
    <t>Hamid MehraBi</t>
  </si>
  <si>
    <t>Hamid Mehrabi PLP</t>
  </si>
  <si>
    <t>https://adserver.doctoreto.com/www/delivery/cl.php?bannerid=920&amp;zoneid=0&amp;log=no&amp;sig=9df7e95f75f51af48a97329da08ce22eac7f8cb2d7be15e538c5555c8ae7761a&amp;dest=https%3A%2F%2Fdoctoreto.com%2Fdoctor%2Fdr-hamid-mehrabi%2FZKbAKM</t>
  </si>
  <si>
    <t>https://adserver.doctoreto.com/www/images/946330a9d56656d821c45320ee8b1533.gif</t>
  </si>
  <si>
    <t>HamidReza Ziayie</t>
  </si>
  <si>
    <t>DR Ziyaie</t>
  </si>
  <si>
    <t>https://adserver.doctoreto.com/www/delivery/cl.php?bannerid=692&amp;zoneid=0&amp;log=no&amp;sig=6f33cbc61c7377688c00d2bc5b6ef7f5f2920ec1ec965e0a2ecdcb4cc2680e64&amp;dest=https%3A%2F%2Fdoctoreto.com%2Fdoctor%2Fdr-hamid-reza-ziaei%2FqBnbBq</t>
  </si>
  <si>
    <t>https://adserver.doctoreto.com/www/images/b051c441a1a2161ebdf5272adea90c60.gif</t>
  </si>
  <si>
    <t>Hashem Rafie Zadeh</t>
  </si>
  <si>
    <t>https://adserver.doctoreto.com/www/delivery/cl.php?bannerid=995&amp;zoneid=0&amp;log=no&amp;sig=3454ed6747ef4b267146c31f0966f29f41055963d8fa9ec1d8936357455b99ef&amp;dest=https%3A%2F%2Fdoctoreto.com%2Fdoctor%2Fdr-hashem-rafizadeh%2FnMmrkZ</t>
  </si>
  <si>
    <t>https://adserver.doctoreto.com/www/images/c093cc58d7ba2c23f534a120263c160a.gif</t>
  </si>
  <si>
    <t>1405/04/29</t>
  </si>
  <si>
    <t>1405/07/29</t>
  </si>
  <si>
    <t>HonarVAr</t>
  </si>
  <si>
    <t>DR HonarVar</t>
  </si>
  <si>
    <t>https://adserver.doctoreto.com/www/delivery/cl.php?bannerid=638&amp;zoneid=0&amp;log=no&amp;sig=babd06c971fdb02317ad4e47852da84b4f583aedfeb39ddb388b337d6ce4e663&amp;dest=https%3A%2F%2Fdoctoreto.com%2Fdoctor%2Fdr-moien-honarvar%2FMmwPyq</t>
  </si>
  <si>
    <t>https://adserver.doctoreto.com/www/images/58e1b0fdd6843b630c06a11efd57e81c.gif</t>
  </si>
  <si>
    <t>Iran e Pak</t>
  </si>
  <si>
    <t>https://adserver.doctoreto.com/www/delivery/cl.php?bannerid=790&amp;zoneid=0&amp;log=no&amp;sig=217b8df0a46e12fbb9d7222b88c0e9b3eed5958923d8b42ae933fa10802a6ffe&amp;dest=https%3A%2F%2Fdoctoreto.com%2Fcenter%2Firan-pak-tehran-clinic%2FAdJyOV</t>
  </si>
  <si>
    <t>https://adserver.doctoreto.com/www/images/0852f29fe0b13a34173f409859e4d0e2.png</t>
  </si>
  <si>
    <t>1405/04/16</t>
  </si>
  <si>
    <t>1405/07/16</t>
  </si>
  <si>
    <t>Irana MashHad</t>
  </si>
  <si>
    <t>https://adserver.doctoreto.com/www/delivery/cl.php?bannerid=1000&amp;zoneid=0&amp;log=no&amp;sig=65f49ecdcf4d8fe731466009cbfac215bf04333962fb66eaa2cd3370b006f0ef&amp;dest=https%3A%2F%2Fdoctoreto.com%2Fcenter%2Firana-clinic%2FALvoJo</t>
  </si>
  <si>
    <t>https://adserver.doctoreto.com/www/images/3719d400ecf1281056c9da16bec53418.gif</t>
  </si>
  <si>
    <t>Janbaz Clinic Aram 1405</t>
  </si>
  <si>
    <t>Asab o Ravan LeaderBoard</t>
  </si>
  <si>
    <t>https://adserver.doctoreto.com/www/delivery/cl.php?bannerid=619&amp;zoneid=0&amp;log=no&amp;sig=985fa03a6921005284445b3422baeda0f4cd5faa3941714458d01b61d96df940&amp;dest=https%3A%2F%2Fdoctoreto.com%2Fcenter%2Faaraam-clinic%2FMvPlQn%3FdoctorsSpecialitySlug%3Dpsychiatrist</t>
  </si>
  <si>
    <t>https://adserver.doctoreto.com/www/images/9949ebd2565ab00772672f4bef400f43.gif</t>
  </si>
  <si>
    <t>Asab o Ravan PLP - Janbaz 1405</t>
  </si>
  <si>
    <t>https://adserver.doctoreto.com/www/delivery/cl.php?bannerid=615&amp;zoneid=0&amp;log=no&amp;sig=4c02e8ae54f87b8c94a6fcfa1a2cf6a8159586a0195ec5d3decb4e1e03eca181&amp;dest=https%3A%2F%2Fdoctoreto.com%2Fcenter%2Faaraam-clinic%2FMvPlQn%3FdoctorsSpecialitySlug%3Dpsychiatrist</t>
  </si>
  <si>
    <t>https://adserver.doctoreto.com/www/images/47e4ddd162f52096c3fb39aea285adca.gif</t>
  </si>
  <si>
    <t>DR Zakeri</t>
  </si>
  <si>
    <t>https://adserver.doctoreto.com/www/delivery/cl.php?bannerid=659&amp;zoneid=0&amp;log=no&amp;sig=68ce7719d0311dc8de6446276346e59ccc7505c1c22c2c22bd69eaf83a064776&amp;dest=https%3A%2F%2Fdoctoreto.com%2Fdoctor%2Famane-zakeri%2FMONyEd</t>
  </si>
  <si>
    <t>https://adserver.doctoreto.com/www/images/5eab54a9c6f86ee2b42b391b0c766f52.gif</t>
  </si>
  <si>
    <t>GHalB LeaderBoard</t>
  </si>
  <si>
    <t>https://adserver.doctoreto.com/www/delivery/cl.php?bannerid=621&amp;zoneid=0&amp;log=no&amp;sig=027c63a59b7ef796bf194137ce37966d0c9208df2aa7b77fbe8af6e0652d4f31&amp;dest=https%3A%2F%2Fdoctoreto.com%2Fcenter%2Faaraam-clinic%2FMvPlQn%3FdoctorsSpecialitySlug%3Dcardiologist</t>
  </si>
  <si>
    <t>https://adserver.doctoreto.com/www/images/f5292d075a19e47e5eb5c7329d56b7f1.gif</t>
  </si>
  <si>
    <t>GHalB PLP - Janbaz 1405</t>
  </si>
  <si>
    <t>https://adserver.doctoreto.com/www/delivery/cl.php?bannerid=617&amp;zoneid=0&amp;log=no&amp;sig=bf710a0ac480a861ef702f321496d304988e10d95fcb97204982fe535c97614d&amp;dest=https%3A%2F%2Fdoctoreto.com%2Fcenter%2Faaraam-clinic%2FMvPlQn%3FdoctorsSpecialitySlug%3Dcardiologist</t>
  </si>
  <si>
    <t>https://adserver.doctoreto.com/www/images/1e24261a22af05dd492702365e44293b.gif</t>
  </si>
  <si>
    <t>Maghz o Asab PLP - Janbaz 1405</t>
  </si>
  <si>
    <t>https://adserver.doctoreto.com/www/delivery/cl.php?bannerid=616&amp;zoneid=0&amp;log=no&amp;sig=8f4357316a35ec88d899bdeaea262000d0ab357409ea4aa9ddf85486c5b77289&amp;dest=https%3A%2F%2Fdoctoreto.com%2Fcenter%2Faaraam-clinic%2FMvPlQn%3FdoctorsSpecialitySlug%3Dneurologist</t>
  </si>
  <si>
    <t>https://adserver.doctoreto.com/www/images/05e8037d640bb8cde10c1cd52d7e3f3c.gif</t>
  </si>
  <si>
    <t>Maghz o Asab LeaderBoard</t>
  </si>
  <si>
    <t>https://adserver.doctoreto.com/www/delivery/cl.php?bannerid=620&amp;zoneid=0&amp;log=no&amp;sig=9f40e9cf82069714f629d231951d925090bd27e1c4500a82c70ad19bde2f569d&amp;dest=https%3A%2F%2Fdoctoreto.com%2Fcenter%2Faaraam-clinic%2FMvPlQn%3FdoctorsSpecialitySlug%3Dneurologist</t>
  </si>
  <si>
    <t>https://adserver.doctoreto.com/www/images/a641e8a2a4808d64fc59dc7d480e488e.gif</t>
  </si>
  <si>
    <t>Reyeh LeaderBoard</t>
  </si>
  <si>
    <t>https://adserver.doctoreto.com/www/delivery/cl.php?bannerid=622&amp;zoneid=0&amp;log=no&amp;sig=2a4e9c5e94e9226e38572271ac83b7c750ea6f3d1aed1aa673f7b33d3fc6241d&amp;dest=https%3A%2F%2Fdoctoreto.com%2Fcenter%2Faaraam-clinic%2FMvPlQn%3FdoctorsSpecialitySlug%3Dpulmonologist</t>
  </si>
  <si>
    <t>https://adserver.doctoreto.com/www/images/a1a61ba0cd50c27c731a17d218261483.gif</t>
  </si>
  <si>
    <t>Reyeh PLP - Janbaz 1405</t>
  </si>
  <si>
    <t>https://adserver.doctoreto.com/www/delivery/cl.php?bannerid=618&amp;zoneid=0&amp;log=no&amp;sig=732fafbd5ad266521a108ad8aae41534dffa6891d3adbf86e3b3ae08b321704d&amp;dest=https%3A%2F%2Fdoctoreto.com%2Fcenter%2Faaraam-clinic%2FMvPlQn%3FdoctorsSpecialitySlug%3Dpulmonologist</t>
  </si>
  <si>
    <t>https://adserver.doctoreto.com/www/images/f455b1ed70e53a1f61d9c90e3f6e2c70.gif</t>
  </si>
  <si>
    <t>Kashef Lab</t>
  </si>
  <si>
    <t>Kashef Lab PDP</t>
  </si>
  <si>
    <t>https://adserver.doctoreto.com/www/delivery/cl.php?bannerid=1139&amp;zoneid=0&amp;log=no&amp;sig=5fa89aa7dce170ae7cc048a6db7f1e9253a91c4d17d455061c01377ebbf6603e&amp;dest=https%3A%2F%2Fdoctoreto.com%2Fcenter%2Fkashef-karaj-lab%2FAkaQrD</t>
  </si>
  <si>
    <t>https://adserver.doctoreto.com/www/images/bf2a8f831953dba9dd16ef40880ca7ce.gif</t>
  </si>
  <si>
    <t>Keyvan Rezaie</t>
  </si>
  <si>
    <t>Dr K1 REza Desktop</t>
  </si>
  <si>
    <t>https://adserver.doctoreto.com/www/delivery/cl.php?bannerid=626&amp;zoneid=0&amp;log=no&amp;sig=b08124dc68e48b346a8ef49ca6c867cd466f590d83808507d3d4fb0a048ee6bf&amp;dest=https%3A%2F%2Fdoctoreto.com%2Fdoctor%2Fkyvan-rzayy%2FGXpVRd</t>
  </si>
  <si>
    <t>https://adserver.doctoreto.com/www/images/acde2996db595be67005e7e501acb22b.gif</t>
  </si>
  <si>
    <t>Dr K1 REza Mobile</t>
  </si>
  <si>
    <t>https://adserver.doctoreto.com/www/delivery/cl.php?bannerid=625&amp;zoneid=0&amp;log=no&amp;sig=59bb64922509275c20aaf945ce72335e970bc9bc57202670bfb0dfb33faec049&amp;dest=https%3A%2F%2Fdoctoreto.com%2Fdoctor%2Fkyvan-rzayy%2FGXpVRd</t>
  </si>
  <si>
    <t>https://adserver.doctoreto.com/www/images/12cddddff0f574d0c6469e43d7fbe3b7.gif</t>
  </si>
  <si>
    <t>Dr Keyvan Rezaie PLP</t>
  </si>
  <si>
    <t>https://adserver.doctoreto.com/www/delivery/cl.php?bannerid=563&amp;zoneid=0&amp;log=no&amp;sig=3e7d8cb1a874564ee9ad97943998598bc0e726724d60d030f6b2ce983d73142c&amp;dest=https%3A%2F%2Fdoctoreto.com%2Fdoctor%2Fkyvan-rzayy%2FGXpVRd%3FsearchedFrom%3DheaderAutoFill</t>
  </si>
  <si>
    <t>https://adserver.doctoreto.com/www/images/121fb375c4c2bfb1ad5b95b73fe335b5.gif</t>
  </si>
  <si>
    <t>Khashayar KhaniZadeh</t>
  </si>
  <si>
    <t>KhaShayar KhaniZadeh</t>
  </si>
  <si>
    <t>https://adserver.doctoreto.com/www/delivery/cl.php?bannerid=1267&amp;zoneid=0&amp;log=no&amp;sig=8a3ea702b53397013c695bf6c9eaee9827ac71d506480a4d49351ce950a28502&amp;dest=https%3A%2F%2Fdoctoreto.com%2Fdoctor%2Fkhashayar-khani-zadeh%2FMEDeaG</t>
  </si>
  <si>
    <t>https://adserver.doctoreto.com/www/images/4e8673700f541b3e8db9250882746059.gif</t>
  </si>
  <si>
    <t>1405/09/10</t>
  </si>
  <si>
    <t>Khatereh Jafari</t>
  </si>
  <si>
    <t>https://adserver.doctoreto.com/www/delivery/cl.php?bannerid=597&amp;zoneid=0&amp;log=no&amp;sig=bca29804453e3fb81e1d7adc9510aa5250ba3912058530097b81dd3151c5ffee&amp;dest=https%3A%2F%2Fdoctoreto.com%2Fdoctor%2Fkhatereh-jafari%2FMzeedd</t>
  </si>
  <si>
    <t>https://adserver.doctoreto.com/www/images/8f32e8c82dd07ac941b5cc1e4753ec54.gif</t>
  </si>
  <si>
    <t>KIMIA Ghasemi</t>
  </si>
  <si>
    <t>Dr. Ghasemi</t>
  </si>
  <si>
    <t>https://adserver.doctoreto.com/www/delivery/cl.php?bannerid=400&amp;zoneid=0&amp;log=no&amp;sig=c501e6d0ac1d182aef577aa00e850cbc51e83c56dc67dbe170ef7db388fea4b2&amp;dest=https%3A%2F%2Fdoctoreto.com%2Fdoctor%2Fdr-kimia-ghasemi%2FZrWEPj</t>
  </si>
  <si>
    <t>https://adserver.doctoreto.com/www/images/92e5713fc40deec20985a031b6ccf7d8.webp</t>
  </si>
  <si>
    <t>Lale Izadi</t>
  </si>
  <si>
    <t>https://adserver.doctoreto.com/www/delivery/cl.php?bannerid=637&amp;zoneid=0&amp;log=no&amp;sig=415b319a835153d480f759ff78ac529bd08fa5282183ed30ffe0d29dde81da5e&amp;dest=https%3A%2F%2Fdoctoreto.com%2Fdoctor%2Fdr-laleh-izadi%2FgMRkEZ</t>
  </si>
  <si>
    <t>https://adserver.doctoreto.com/www/images/1c2ba0dd8a0152b190fff7ac57dc6553.png</t>
  </si>
  <si>
    <t>1405/03/04</t>
  </si>
  <si>
    <t>Maasoume Zare</t>
  </si>
  <si>
    <t>https://adserver.doctoreto.com/www/delivery/cl.php?bannerid=1020&amp;zoneid=0&amp;log=no&amp;sig=336bbd40def1544bab2cefae7a4e4783ca639a95bfd46d269be0e63fedf177e4&amp;dest=https%3A%2F%2Fdoctoreto.com%2Fdoctor%2Fdr-masoume-zareie%2FqoNgjZ</t>
  </si>
  <si>
    <t>https://adserver.doctoreto.com/www/images/2edef75ef6cb40f55dd3f12ce54ae3df.gif</t>
  </si>
  <si>
    <t>1405/05/03</t>
  </si>
  <si>
    <t>1405/08/03</t>
  </si>
  <si>
    <t>Mahda Yazd</t>
  </si>
  <si>
    <t>https://adserver.doctoreto.com/www/delivery/cl.php?bannerid=604&amp;zoneid=0&amp;log=no&amp;sig=38b25bbf73cbb0ddb7ed1725396e1a0face6c66e92df581501b996e7eef1e143&amp;dest=https%3A%2F%2Fdoctoreto.com%2Fdoctor%2Ferfane-erfanmanesh%2FGJjkWa</t>
  </si>
  <si>
    <t>https://adserver.doctoreto.com/www/images/bb89509d4674ed40990795340326499d.gif</t>
  </si>
  <si>
    <t>Mansoureh AmirShahi</t>
  </si>
  <si>
    <t>https://adserver.doctoreto.com/www/delivery/cl.php?bannerid=660&amp;zoneid=0&amp;log=no&amp;sig=feea04459baec3952bbb58ad45289548c851e308a17497d95b58d6130dfb21f6&amp;dest=https%3A%2F%2Fdoctoreto.com%2Fdoctor%2Fdr-mansoure-amirshahi%2FqBlaVM</t>
  </si>
  <si>
    <t>https://adserver.doctoreto.com/www/images/846f82b8ef8211d1c917cce2f3fa7252.gif</t>
  </si>
  <si>
    <t>Maryam DadKhah</t>
  </si>
  <si>
    <t>Dr Dadkhah</t>
  </si>
  <si>
    <t>https://adserver.doctoreto.com/www/delivery/cl.php?bannerid=1162&amp;zoneid=0&amp;log=no&amp;sig=bb65df3ea9677813e1043b5db1360978811b8b5cd32a88f22b020653130823d6&amp;dest=https%3A%2F%2Fdoctoreto.com%2Fdoctor%2Fdr-maryam-dad-khah%2FGwXOJM</t>
  </si>
  <si>
    <t>https://adserver.doctoreto.com/www/images/96b1f1eaa05ccc2272e06e4b527d4f7a.gif</t>
  </si>
  <si>
    <t>Maryam GHolami</t>
  </si>
  <si>
    <t>Maryam Gholami</t>
  </si>
  <si>
    <t>https://adserver.doctoreto.com/www/delivery/cl.php?bannerid=623&amp;zoneid=0&amp;log=no&amp;sig=44ffe1a7ef78131d934411effb3279bdb89d2ce7935ea84ee79320a3d9788cca&amp;dest=https%3A%2F%2Fdoctoreto.com%2Fdoctor%2Fdr-maryam-gholami-samsoori%2FMNjNOM</t>
  </si>
  <si>
    <t>https://adserver.doctoreto.com/www/images/d7823f4cb5afd63ba18c569952afac2c.gif</t>
  </si>
  <si>
    <t>1405/05/26</t>
  </si>
  <si>
    <t>Masoume Tarahomi</t>
  </si>
  <si>
    <t>Dr Tarahomi</t>
  </si>
  <si>
    <t>https://adserver.doctoreto.com/www/delivery/cl.php?bannerid=579&amp;zoneid=0&amp;log=no&amp;sig=4b02353dfbe241f38d6ddee3a545bff67fe5f4f73cca286809273c2dc1bea3a2&amp;dest=https%3A%2F%2Fdoctoreto.com%2Fdoctor%2Fdr-masume-tarahomi%2FZJVLJQ</t>
  </si>
  <si>
    <t>https://adserver.doctoreto.com/www/images/f1184ebf402505b47bb3ca528fea816f.gif</t>
  </si>
  <si>
    <t>Mazaher Hadi</t>
  </si>
  <si>
    <t>https://adserver.doctoreto.com/www/delivery/cl.php?bannerid=561&amp;zoneid=0&amp;log=no&amp;sig=f717b1bd041689b65c886780b3b0bbc7bfa51aa9b976b7e608feb2c33947f7e5&amp;dest=https%3A%2F%2Fdoctoreto.com%2Fdoctor%2Fdr-mazaher-hadi%2FMBraJM</t>
  </si>
  <si>
    <t>https://adserver.doctoreto.com/www/images/730b0b149022a1c9b8f4b04bfc672be3.webp</t>
  </si>
  <si>
    <t>Mehdi RismanChian</t>
  </si>
  <si>
    <t>RismanChian</t>
  </si>
  <si>
    <t>https://adserver.doctoreto.com/www/delivery/cl.php?bannerid=602&amp;zoneid=0&amp;log=no&amp;sig=9a1aa4f03f9352fc8eb2a661503abf20e639b0bb9e82e6f65f331eb747e59c0e&amp;dest=https%3A%2F%2Fdoctoreto.com%2Fdoctor%2Fdr-mehdi-rismanchian%2FZXzjno</t>
  </si>
  <si>
    <t>https://adserver.doctoreto.com/www/images/b6233ba110dd29711cf9bd347709f9c8.gif</t>
  </si>
  <si>
    <t>Meysam Ghanbari</t>
  </si>
  <si>
    <t>https://adserver.doctoreto.com/www/delivery/cl.php?bannerid=601&amp;zoneid=0&amp;log=no&amp;sig=c3abb7bc28a9dc0bdee41fa572e4638d2654e3a5e4dba1973501d6a2d7937c70&amp;dest=https%3A%2F%2Fdoctoreto.com%2Fdoctor%2Fdr-meysam-ghanbari%2FGAdvnq</t>
  </si>
  <si>
    <t>https://adserver.doctoreto.com/www/images/a73bef19bb87aec8ab405d8047a4a0c7.gif</t>
  </si>
  <si>
    <t>Meysam Ghanbari DeskTop</t>
  </si>
  <si>
    <t>https://adserver.doctoreto.com/www/delivery/cl.php?bannerid=748&amp;zoneid=0&amp;log=no&amp;sig=97b870a11da3dd954decfc257c8e7830fa87d077dbc2b6f8bbe056c833e78402&amp;dest=https%3A%2F%2Fdoctoreto.com%2Fdoctor%2Fdr-meysam-ghanbari%2FGAdvnq</t>
  </si>
  <si>
    <t>https://adserver.doctoreto.com/www/images/9d9628bcc925adf725d1301a54b62973.gif</t>
  </si>
  <si>
    <t>Meysam Ghanbari Mobile</t>
  </si>
  <si>
    <t>https://adserver.doctoreto.com/www/delivery/cl.php?bannerid=743&amp;zoneid=0&amp;log=no&amp;sig=c5487d97aa83b336508c5d42d032e1d5da2bfd8468ba0b974a6e30f1232c6147&amp;dest=https%3A%2F%2Fdoctoreto.com%2Fdoctor%2Fdr-meysam-ghanbari%2FGAdvnq</t>
  </si>
  <si>
    <t>https://adserver.doctoreto.com/www/images/64b07b092ee14aa0efc60416e42b6a97.gif</t>
  </si>
  <si>
    <t>MIna Clinic</t>
  </si>
  <si>
    <t>Mina Dental PLP</t>
  </si>
  <si>
    <t>https://adserver.doctoreto.com/www/delivery/cl.php?bannerid=1144&amp;zoneid=0&amp;log=no&amp;sig=796838fb2c3677ecb8a5ed6739f8610a6a78cdcdbb6b1dac3bba24a107720fc5&amp;dest=https%3A%2F%2Fdoctoreto.com%2Fcenter%2Fmina-tabriz-clinic%2FAlqqGg</t>
  </si>
  <si>
    <t>https://adserver.doctoreto.com/www/images/df79bbdc7a702e347fedeacbfabd2cca.gif</t>
  </si>
  <si>
    <t>1405/05/27</t>
  </si>
  <si>
    <t>1405/08/27</t>
  </si>
  <si>
    <t>Mina Yazdi Zadeh</t>
  </si>
  <si>
    <t>Mina YazdiZadeh</t>
  </si>
  <si>
    <t>https://adserver.doctoreto.com/www/delivery/cl.php?bannerid=1252&amp;zoneid=0&amp;log=no&amp;sig=1e24d407e967df6ab98b3e6a7c2dcb013d95531b9ec52fa6378f3ba01bdd0490&amp;dest=https%3A%2F%2Fdoctoreto.com%2Fdoctor%2Fdr-mina-yazdizadeh%2FGwlvvl</t>
  </si>
  <si>
    <t>https://adserver.doctoreto.com/www/images/acf75046341179f58068a795a31d5d43.gif</t>
  </si>
  <si>
    <t>MirKahNooj</t>
  </si>
  <si>
    <t>https://adserver.doctoreto.com/www/delivery/cl.php?bannerid=1075&amp;zoneid=0&amp;log=no&amp;sig=7fe51942b413264a0d4d97e6dd5ceb35c34e5fdb7afb92908d3f23cf9e38ac4c&amp;dest=https%3A%2F%2Fdoctoreto.com%2Fdoctor%2Fdr-zeinab-mirkahnuj%2FZpDVrZ</t>
  </si>
  <si>
    <t>https://adserver.doctoreto.com/www/images/56bab9ebc1ecc5a721f099564b49b5cc.gif</t>
  </si>
  <si>
    <t>Mirozh Center</t>
  </si>
  <si>
    <t>https://adserver.doctoreto.com/www/delivery/cl.php?bannerid=656&amp;zoneid=0&amp;log=no&amp;sig=8fb0293ba21c327458318539a85922ae1c5624ae1207b20a2d2db94e79962d18&amp;dest=https%3A%2F%2Fdoctoreto.com%2Fcenter%2Fmirougecenter-clinic%2FAbBRLO</t>
  </si>
  <si>
    <t>https://adserver.doctoreto.com/www/images/04f4a15d108615ca774dd50da159a53d.gif</t>
  </si>
  <si>
    <t>Mohammad Aria Sadr</t>
  </si>
  <si>
    <t>Mohammad Aria Sadr PLP</t>
  </si>
  <si>
    <t>https://adserver.doctoreto.com/www/delivery/cl.php?bannerid=1120&amp;zoneid=0&amp;log=no&amp;sig=badfa2c4c31833bfdf06ff2867e41b7ea8c3d22aa3a804a6542cb2ecbb9a877d&amp;dest=https%3A%2F%2Fdoctoreto.com%2Fdoctor%2Fdr-mohammad%2FGrWLLL</t>
  </si>
  <si>
    <t>https://adserver.doctoreto.com/www/images/5a1e110884651551269887959147bf29.gif</t>
  </si>
  <si>
    <t>Mohammadreza Mohammadi Azad</t>
  </si>
  <si>
    <t>Copy of Mohammadi Azad</t>
  </si>
  <si>
    <t>https://adserver.doctoreto.com/www/delivery/cl.php?bannerid=1227&amp;zoneid=0&amp;log=no&amp;sig=a9ce76379e4c73f35138bdea81722802b380b8ad9780217c110fc735638f7271&amp;dest=https%3A%2F%2Fdoctoreto.com%2Fdoctor%2Fdr-mohammadreza-mohammadi-azad%2FMBOWBZ</t>
  </si>
  <si>
    <t>https://adserver.doctoreto.com/www/images/2e4ef40474f24179776e025f4aa62965.gif</t>
  </si>
  <si>
    <t>Mohammadi Azad</t>
  </si>
  <si>
    <t>https://adserver.doctoreto.com/www/delivery/cl.php?bannerid=1134&amp;zoneid=0&amp;log=no&amp;sig=8f5b73977e7b09744ae0b5ec5fc5fcbf3941db28181e924139dc40af4c8e9924&amp;dest=https%3A%2F%2Fdoctoreto.com%2Fdoctor%2Fdr-mohammadreza-mohammadi-azad%2FMBOWBZ</t>
  </si>
  <si>
    <t>https://adserver.doctoreto.com/www/images/9abda60e36470cd35c14dfc8fcc9f51d.gif</t>
  </si>
  <si>
    <t>Mohammmad Javad Bagheri</t>
  </si>
  <si>
    <t>Mohammmad Javad Bagheri 01</t>
  </si>
  <si>
    <t>https://adserver.doctoreto.com/www/delivery/cl.php?bannerid=558&amp;zoneid=0&amp;log=no&amp;sig=20a5b4390dcb03bef3a0ad18759cd51414abc9e3d7c70ef51162849f578ad4d5&amp;dest=https%3A%2F%2Fdoctoreto.com%2Fdoctor%2Fdr-mohammad-javad-bagheri%2FMkdEXZ</t>
  </si>
  <si>
    <t>https://adserver.doctoreto.com/www/images/a3f3abd82902c1efcc76c75290d8d47e.webp</t>
  </si>
  <si>
    <t>Mohammmad Javad Bagheri 02</t>
  </si>
  <si>
    <t>https://adserver.doctoreto.com/www/delivery/cl.php?bannerid=559&amp;zoneid=0&amp;log=no&amp;sig=6e21437e61d79dece4f23f829413595cd53da24db8240f6255685a58dc50dfc8&amp;dest=https%3A%2F%2Fdoctoreto.com%2Fdoctor%2Fdr-mohammad-javad-bagheri%2FMkdEXZ</t>
  </si>
  <si>
    <t>https://adserver.doctoreto.com/www/images/27a976b8a15ba9dfa92c05b93523f2ac.webp</t>
  </si>
  <si>
    <t>Mom Gen</t>
  </si>
  <si>
    <t>https://adserver.doctoreto.com/www/delivery/cl.php?bannerid=1173&amp;zoneid=0&amp;log=no&amp;sig=d2bd60d18164f24fd46d8a5f755507fc93daf0d9f33bb25adaa9b4a0d048b42c&amp;dest=https%3A%2F%2Fjcbb.ir%2Fjanan-storage-registration</t>
  </si>
  <si>
    <t>https://adserver.doctoreto.com/www/images/4b4c932f23ba8f7a2935b36885586f7b.gif</t>
  </si>
  <si>
    <t>MOsa Zare</t>
  </si>
  <si>
    <t>Mosa Zare PLP</t>
  </si>
  <si>
    <t>https://adserver.doctoreto.com/www/delivery/cl.php?bannerid=1132&amp;zoneid=0&amp;log=no&amp;sig=1799f5c61b6d881c27861d0dd048672f59bda08f0aa663a4dddc7861f2e5a0b9&amp;dest=https%3A%2F%2Fdoctoreto.com%2Fdoctor%2Fdr-mousa-zare%2FqmWQrY</t>
  </si>
  <si>
    <t>https://adserver.doctoreto.com/www/images/b653ed1bbbbfe705b69bdea0e2d2b8de.gif</t>
  </si>
  <si>
    <t>1405/05/18</t>
  </si>
  <si>
    <t>1405/08/18</t>
  </si>
  <si>
    <t>My Lady</t>
  </si>
  <si>
    <t>My Lady Psychologist Campaign</t>
  </si>
  <si>
    <t>https://adserver.doctoreto.com/www/delivery/cl.php?bannerid=643&amp;zoneid=0&amp;log=no&amp;sig=396c00b083ef3405cc9be8295c054e7a6a8381e757d7cf3fbf41b8d5b787a6f4&amp;dest=https%3A%2F%2Fdoctoreto.com%2Fland%2Fcampaign%2Fpsychologist%2F</t>
  </si>
  <si>
    <t>https://adserver.doctoreto.com/www/images/086bb7c6a74c0b4438c77d55980cca1a.png</t>
  </si>
  <si>
    <t>Parastoo AshTiJoo</t>
  </si>
  <si>
    <t>Parastoo AshTiJoo PLP</t>
  </si>
  <si>
    <t>https://adserver.doctoreto.com/www/delivery/cl.php?bannerid=1070&amp;zoneid=0&amp;log=no&amp;sig=6ea470e008c4ecb71cb56bcbd1fb4955c0b901e3b6153b10b2febf127ce0e1be&amp;dest=https%3A%2F%2Fdoctoreto.com%2Fdoctor%2Fdr-parastooashtijoo%2FqEPvBy</t>
  </si>
  <si>
    <t>https://adserver.doctoreto.com/www/images/5c3be628e4b390457c409e92626fce6e.gif</t>
  </si>
  <si>
    <t>1405/05/06</t>
  </si>
  <si>
    <t>1405/08/06</t>
  </si>
  <si>
    <t>Parseh Laser Clinic</t>
  </si>
  <si>
    <t>Parseh Skin clinic New</t>
  </si>
  <si>
    <t>https://adserver.doctoreto.com/www/delivery/cl.php?bannerid=304&amp;zoneid=0&amp;log=no&amp;sig=143cefdd186c5e7ce9c1c3120d3ff36ad20f725363c217f88155595bf8323284&amp;dest=https%3A%2F%2Fdoctoreto.com%2Fcenter%2Fparseh-clinic%2FZbpdyz</t>
  </si>
  <si>
    <t>https://adserver.doctoreto.com/www/images/0c363234214fa29bc6149830e7b83644.webp</t>
  </si>
  <si>
    <t>pourSina Clinic</t>
  </si>
  <si>
    <t>pourSina Clinic PDP</t>
  </si>
  <si>
    <t>https://adserver.doctoreto.com/www/delivery/cl.php?bannerid=1105&amp;zoneid=0&amp;log=no&amp;sig=ef27b8914a0b916600bb489f64ff62e49d98de09b98810ba356acc2f639cfc32&amp;dest=https%3A%2F%2Fdoctoreto.com%2Fcenter%2Fpursina-shiraz-infirmary%2FAeXWjj</t>
  </si>
  <si>
    <t>https://adserver.doctoreto.com/www/images/4f4b1c81f7aa8cef72877ce50d29ab53.gif</t>
  </si>
  <si>
    <t>1405/05/11</t>
  </si>
  <si>
    <t>1405/08/11</t>
  </si>
  <si>
    <t>pourSina Clinic PLP</t>
  </si>
  <si>
    <t>https://adserver.doctoreto.com/www/delivery/cl.php?bannerid=1100&amp;zoneid=0&amp;log=no&amp;sig=78f84a134ac8b7bbe02fd328f6b43cd8a6d3577a8946476ce51f9ac5a1f66280&amp;dest=https%3A%2F%2Fdoctoreto.com%2Fcenter%2Fpursina-shiraz-infirmary%2FAeXWjj</t>
  </si>
  <si>
    <t>https://adserver.doctoreto.com/www/images/a414d6fe05f2d5529799a20cde05e0ed.gif</t>
  </si>
  <si>
    <t>Raz pathology</t>
  </si>
  <si>
    <t>raaz</t>
  </si>
  <si>
    <t>https://adserver.doctoreto.com/www/delivery/cl.php?bannerid=387&amp;zoneid=0&amp;log=no&amp;sig=c689b5e8edf712d3739fbed197b8f1d08e2495477b03ed556419c8534a8bd104&amp;dest=https%3A%2F%2Fdoctoreto.com%2Fcenter%2Fraz-shiraz-lap%2FYNrrOb%3Futm_source%3Ddoctoreto%26utm_medium%3Dinternal_banner%26utm_campaign%3Draz_lab_pdp_test_sep2025%26utm_id%3Drazcmp%26utm_term%3Dpdp_doctor_lab_related%26utm_content%3Dbanner_v1</t>
  </si>
  <si>
    <t>https://adserver.doctoreto.com/www/images/a96cf8bbdce3f31e57e41be6dac9cea3.webp</t>
  </si>
  <si>
    <t>Reyhane Seraj</t>
  </si>
  <si>
    <t>https://adserver.doctoreto.com/www/delivery/cl.php?bannerid=609&amp;zoneid=0&amp;log=no&amp;sig=69df9aac1ea414cd272d2dec5aae283f2ea91de48b509eed903d34f2db6c234a&amp;dest=https%3A%2F%2Fdoctoreto.com%2Fdoctor%2Fdr-reyhane-seraj%2FqjlKRz</t>
  </si>
  <si>
    <t>https://adserver.doctoreto.com/www/images/53da9a43f5c1e258cd9b7b00204242ce.gif</t>
  </si>
  <si>
    <t>Sahami Clinic</t>
  </si>
  <si>
    <t>https://adserver.doctoreto.com/www/delivery/cl.php?bannerid=624&amp;zoneid=0&amp;log=no&amp;sig=2d0b750809c507209d30f8882aed11fa52e0c0a15caa2cd7a3cf8eb33b4cdc05&amp;dest=https%3A%2F%2Fdoctoreto.com%2Fcenter%2Fsahami-clinic%2FYQENkY</t>
  </si>
  <si>
    <t>https://adserver.doctoreto.com/www/images/176531d0a8d1b30466ead0017240956e.gif</t>
  </si>
  <si>
    <t>Sajad Safari</t>
  </si>
  <si>
    <t>https://adserver.doctoreto.com/www/delivery/cl.php?bannerid=605&amp;zoneid=0&amp;log=no&amp;sig=b001b7a8fcfa130e8849de26af7aef9184d8b86c0ce11ae7d4f158b7c4ac5e02&amp;dest=https%3A%2F%2Fdoctoreto.com%2Fdoctor%2Fdr-sajad-safarifarshchi%2FMLNejK</t>
  </si>
  <si>
    <t>https://adserver.doctoreto.com/www/images/8ea396ac893d45611ea92106b10123b3.gif</t>
  </si>
  <si>
    <t>Sajad Safari - BLOG - LAmin</t>
  </si>
  <si>
    <t>https://adserver.doctoreto.com/www/delivery/cl.php?bannerid=686&amp;zoneid=0&amp;log=no&amp;sig=d1f1191aa605f8d21521f6d5a24bb3b1ffe7155d65e0116997fc5d4d65a90e04&amp;dest=https%3A%2F%2Fdoctoreto.com%2Fdoctor%2Fdr-sajad-safarifarshchi%2FMLNejK</t>
  </si>
  <si>
    <t>https://adserver.doctoreto.com/www/images/beecc995a08b00553bd0ea9e8976ff36.gif</t>
  </si>
  <si>
    <t>Sajad Safari - BLOG - Ortho</t>
  </si>
  <si>
    <t>https://adserver.doctoreto.com/www/delivery/cl.php?bannerid=682&amp;zoneid=0&amp;log=no&amp;sig=d18579e145ca9623f6f1c4c00b9c3cbf65765dc63a3ac13772c7a596bb033d44&amp;dest=https%3A%2F%2Fdoctoreto.com%2Fdoctor%2Fdr-sajad-safarifarshchi%2FMLNejK</t>
  </si>
  <si>
    <t>https://adserver.doctoreto.com/www/images/cf3b2f127ec8bc8d045150689590be36.gif</t>
  </si>
  <si>
    <t>Sajad Safari Desktop</t>
  </si>
  <si>
    <t>https://adserver.doctoreto.com/www/delivery/cl.php?bannerid=606&amp;zoneid=0&amp;log=no&amp;sig=ee02970f2b1e6ef82e1fa85aa90020d9e3481b7d83e97312ac4852e1b57b2ed1&amp;dest=https%3A%2F%2Fdoctoreto.com%2Fdoctor%2Fdr-sajad-safarifarshchi%2FMLNejK</t>
  </si>
  <si>
    <t>https://adserver.doctoreto.com/www/images/aada3e89eadaf8ec2a075321063a8d99.gif</t>
  </si>
  <si>
    <t>Sajad Safari Mobile</t>
  </si>
  <si>
    <t>https://adserver.doctoreto.com/www/delivery/cl.php?bannerid=607&amp;zoneid=0&amp;log=no&amp;sig=4fb0cc683bad51da09504bbf370f1f22c24cde8b4dd156451a99c61c7af7e5f7&amp;dest=https%3A%2F%2Fdoctoreto.com%2Fdoctor%2Fdr-sajad-safarifarshchi%2FMLNejK</t>
  </si>
  <si>
    <t>https://adserver.doctoreto.com/www/images/3c22eba198e3395d9b01de1108a9b97b.gif</t>
  </si>
  <si>
    <t>Sakhteman Milad</t>
  </si>
  <si>
    <t>Sakhteman Milad 01</t>
  </si>
  <si>
    <t>https://adserver.doctoreto.com/www/delivery/cl.php?bannerid=1202&amp;zoneid=0&amp;log=no&amp;sig=68beeff95e00a049628e23fdc2bf1bc3715f600f869ef8c67e119b2ab12eec65&amp;dest=https%3A%2F%2Fdoctoreto.com%2Fcenter%2Fmilaad-tehran-clinic%2FMNBoax</t>
  </si>
  <si>
    <t>https://adserver.doctoreto.com/www/images/44424751a97c669301b09a858434582e.gif</t>
  </si>
  <si>
    <t>Sakhteman Milad 02 PDP</t>
  </si>
  <si>
    <t>https://adserver.doctoreto.com/www/delivery/cl.php?bannerid=1207&amp;zoneid=0&amp;log=no&amp;sig=1beb53666a39533590119c07ce5f9a39c9e81654ad15ca380bdc738847f45b32&amp;dest=https%3A%2F%2Fdoctoreto.com%2Fcenter%2Fmilaad-tehran-clinic%2FMNBoax</t>
  </si>
  <si>
    <t>https://adserver.doctoreto.com/www/images/ea598ec104972dbee8729048a870f30d.gif</t>
  </si>
  <si>
    <t>Sakhteman Milad 03</t>
  </si>
  <si>
    <t>https://adserver.doctoreto.com/www/delivery/cl.php?bannerid=1212&amp;zoneid=0&amp;log=no&amp;sig=cd0a8f38a05c8f415471f7986312fb75f39df06a53b02f005122632b0c2bb8e1&amp;dest=https%3A%2F%2Fdoctoreto.com%2Fcenter%2Fmilaad-tehran-clinic%2FMNBoax</t>
  </si>
  <si>
    <t>https://adserver.doctoreto.com/www/images/31a177c00a8a78fa25f07f53f611a39e.gif</t>
  </si>
  <si>
    <t>Sakhteman Milad 04</t>
  </si>
  <si>
    <t>https://adserver.doctoreto.com/www/delivery/cl.php?bannerid=1217&amp;zoneid=0&amp;log=no&amp;sig=84fbecffce4df886c9e7b634b610a4347bb6ea645036091933c1f75c45300ca1&amp;dest=https%3A%2F%2Fdoctoreto.com%2Fcenter%2Fmilaad-tehran-clinic%2FMNBoax</t>
  </si>
  <si>
    <t>https://adserver.doctoreto.com/www/images/d9c4382ad8f4653aa3f1fe3c23d4945e.gif</t>
  </si>
  <si>
    <t>Samane Taghian</t>
  </si>
  <si>
    <t>https://adserver.doctoreto.com/www/delivery/cl.php?bannerid=593&amp;zoneid=0&amp;log=no&amp;sig=879e27d0642c7f0aabac40959c72b329a2864fc7011acd6517edc2177b216f9a&amp;dest=https%3A%2F%2Fdoctoreto.com%2Fdoctor%2Fdr-seyyedeh-samaneh-taghian-jamaloddin-kalaei%2FqWjEkZ</t>
  </si>
  <si>
    <t>https://adserver.doctoreto.com/www/images/0bf67b530b49e75a37268e73ba01c2dd.gif</t>
  </si>
  <si>
    <t>SamaNeh HamzLou</t>
  </si>
  <si>
    <t>SamaNeh HamzLou Desktop</t>
  </si>
  <si>
    <t>https://adserver.doctoreto.com/www/delivery/cl.php?bannerid=1080&amp;zoneid=0&amp;log=no&amp;sig=35c57c4e34e3dcc32e450c03354b75e063b813700579dd1100573f0a8a1d29dd&amp;dest=https%3A%2F%2Fdoctoreto.com%2Fdoctor%2Fdr-samaneh-hamzlo%2FMkvEkG</t>
  </si>
  <si>
    <t>https://adserver.doctoreto.com/www/images/017265154c9d3271010eeca624613357.gif</t>
  </si>
  <si>
    <t>SamaNeh HamzLou MObile</t>
  </si>
  <si>
    <t>https://adserver.doctoreto.com/www/delivery/cl.php?bannerid=1085&amp;zoneid=0&amp;log=no&amp;sig=152ac77aae93f2e4409b953988ec8eb5486e28b26325023aee521e422377b1f9&amp;dest=https%3A%2F%2Fdoctoreto.com%2Fdoctor%2Fdr-samaneh-hamzlo%2FMkvEkG</t>
  </si>
  <si>
    <t>https://adserver.doctoreto.com/www/images/e8a287ffb8787c92d80e95f4f7d3aa2a.gif</t>
  </si>
  <si>
    <t>SamaNeh HamzLou PLP</t>
  </si>
  <si>
    <t>https://adserver.doctoreto.com/www/delivery/cl.php?bannerid=1060&amp;zoneid=0&amp;log=no&amp;sig=11b18bfc5f93467c01f1eddf575b390bfa3741d8e88ce4115b4b9be88eda03eb&amp;dest=https%3A%2F%2Fdoctoreto.com%2Fdoctor%2Fdr-samaneh-hamzlo%2FMkvEkG</t>
  </si>
  <si>
    <t>https://adserver.doctoreto.com/www/images/03cd2adcf6d05d90adecf263e404296a.gif</t>
  </si>
  <si>
    <t>Samira Mesbah</t>
  </si>
  <si>
    <t>Samira Mesbah Clinic Desktop</t>
  </si>
  <si>
    <t>https://adserver.doctoreto.com/www/delivery/cl.php?bannerid=900&amp;zoneid=0&amp;log=no&amp;sig=2910af59c4a09cba403553656e238f31b6317e4698a40e6dfc949880bf28047c&amp;dest=https%3A%2F%2Fdoctoreto.com%2Fdoctor%2Fdr-samira-mesbah%2FGXYRQM</t>
  </si>
  <si>
    <t>https://adserver.doctoreto.com/www/images/f363916387decab619902e1161434020.gif</t>
  </si>
  <si>
    <t>1405/07/23</t>
  </si>
  <si>
    <t>Samira Mesbah Clinic Mobile</t>
  </si>
  <si>
    <t>https://adserver.doctoreto.com/www/delivery/cl.php?bannerid=905&amp;zoneid=0&amp;log=no&amp;sig=f5093bdf9a116b90865619c92a85d3f50e67ea1ec5f45acd4cfe8be5804d816a&amp;dest=https%3A%2F%2Fdoctoreto.com%2Fdoctor%2Fdr-samira-mesbah%2FGXYRQM</t>
  </si>
  <si>
    <t>https://adserver.doctoreto.com/www/images/be1593a714ea307f5be7390e316ece1a.gif</t>
  </si>
  <si>
    <t>Samira Mesbah PLP</t>
  </si>
  <si>
    <t>https://adserver.doctoreto.com/www/delivery/cl.php?bannerid=895&amp;zoneid=0&amp;log=no&amp;sig=02a866abc92141705e9b467ccc788f627e7d09f4d01a85914f81b21f3cda6d86&amp;dest=https%3A%2F%2Fdoctoreto.com%2Fdoctor%2Fdr-samira-mesbah%2FGXYRQM</t>
  </si>
  <si>
    <t>https://adserver.doctoreto.com/www/images/b7309d48f154102e717cd60d07d967a5.png</t>
  </si>
  <si>
    <t>Sepahan Dental Clinic</t>
  </si>
  <si>
    <t>Sepahan Clinic</t>
  </si>
  <si>
    <t>https://adserver.doctoreto.com/www/delivery/cl.php?bannerid=281&amp;zoneid=0&amp;log=no&amp;sig=c0e0e20abbb019dc6b0358fe45c74df4ef4c38c59b2395ed28916804ef56f31c&amp;dest=https%3A%2F%2Fdoctoreto.com%2Fcenter%2Fsepahan-shahr-clinic%2FAEdVRy</t>
  </si>
  <si>
    <t>https://adserver.doctoreto.com/www/images/e1ef75dc2f801aa5a357b8886f69cc5d.webp</t>
  </si>
  <si>
    <t>Sepamed Clinc</t>
  </si>
  <si>
    <t>Sepamed</t>
  </si>
  <si>
    <t>https://adserver.doctoreto.com/www/delivery/cl.php?bannerid=433&amp;zoneid=0&amp;log=no&amp;sig=be128ae63d44b2b874589dde8b68a71705e517900f7456eaf4783cbe523856b3&amp;dest=https%3A%2F%2Fdoctoreto.com%2Fcenter%2Fsepamed-esfahan-clinic%2FYGogBX%3FsearchedFrom%3DhomeAutoFill</t>
  </si>
  <si>
    <t>https://adserver.doctoreto.com/www/images/3789ffe1534771760ef5d82d98f8f168.webp</t>
  </si>
  <si>
    <t>Sepamed gynecomastia</t>
  </si>
  <si>
    <t>https://adserver.doctoreto.com/www/delivery/cl.php?bannerid=633&amp;zoneid=0&amp;log=no&amp;sig=b89b7150c01c7435d2dbcee0eccb15f7d84eb5706517f053104ae5054e548ea4&amp;dest=https%3A%2F%2Fdoctoreto.com%2Fcenter%2Fsepamed-esfahan-clinic%2FYGogBX</t>
  </si>
  <si>
    <t>https://adserver.doctoreto.com/www/images/046b7377a8fcd906e43a787ee94d01c0.gif</t>
  </si>
  <si>
    <t>Sepamed Hemorrhoids</t>
  </si>
  <si>
    <t>https://adserver.doctoreto.com/www/delivery/cl.php?bannerid=540&amp;zoneid=0&amp;log=no&amp;sig=6c1c59403a0da28896c775877904876fd358b955c3d26bc421acf49936741fce&amp;dest=https%3A%2F%2Fdoctoreto.com%2Fcenter%2Fsepamed-esfahan-clinic%2FYGogBX%3FsearchedFrom%3DheaderAutoFill</t>
  </si>
  <si>
    <t>https://adserver.doctoreto.com/www/images/8e39287c6b64ba6fdb26a9596ad85246.webp</t>
  </si>
  <si>
    <t>Sepamed MikhChe</t>
  </si>
  <si>
    <t>https://adserver.doctoreto.com/www/delivery/cl.php?bannerid=610&amp;zoneid=0&amp;log=no&amp;sig=e77a748bcac0f64f85035b3e900187333ce051663635d5bbf4f060c5bd18bf8c&amp;dest=https%3A%2F%2Fdoctoreto.com%2Fcenter%2Fsepamed-esfahan-clinic%2FYGogBX</t>
  </si>
  <si>
    <t>https://adserver.doctoreto.com/www/images/9f09a6f7eb308423e205420a60c3ce75.gif</t>
  </si>
  <si>
    <t>Sepamed Mole</t>
  </si>
  <si>
    <t>https://adserver.doctoreto.com/www/delivery/cl.php?bannerid=541&amp;zoneid=0&amp;log=no&amp;sig=0f20a252265daac7e1638131d675134b609087945b062424f848675c9891cd49&amp;dest=https%3A%2F%2Fdoctoreto.com%2Fcenter%2Fsepamed-esfahan-clinic%2FYGogBX%3FsearchedFrom%3DheaderAutoFill</t>
  </si>
  <si>
    <t>https://adserver.doctoreto.com/www/images/2f02823461889933dd6ec55ee689b019.webp</t>
  </si>
  <si>
    <t>Serita Clinic</t>
  </si>
  <si>
    <t>Serita Clinic Karaj</t>
  </si>
  <si>
    <t>https://adserver.doctoreto.com/www/delivery/cl.php?bannerid=598&amp;zoneid=0&amp;log=no&amp;sig=e005b0b7b2bb676532a6c126e24b16e503d88c29db1887673e87637506d0f2f2&amp;dest=https%3A%2F%2Fdoctoreto.com%2Fcenter%2Fseriita-karaj-clinic%2FZBNemw</t>
  </si>
  <si>
    <t>https://adserver.doctoreto.com/www/images/ff48a012fae5b6a87e2a2e2f327a9f6b.gif</t>
  </si>
  <si>
    <t>Serita Clinic Qom</t>
  </si>
  <si>
    <t>https://adserver.doctoreto.com/www/delivery/cl.php?bannerid=600&amp;zoneid=0&amp;log=no&amp;sig=b69aa36453f4c042f4670851f2322e850def8c715fe3e2497f9c938065bad98f&amp;dest=https%3A%2F%2Fdoctoreto.com%2Fcenter%2Fserita-ghom-clinic%2FZeXjxk</t>
  </si>
  <si>
    <t>https://adserver.doctoreto.com/www/images/97d8c1f960a2c442bb58bbae3ca1d5c5.gif</t>
  </si>
  <si>
    <t>Serita Clinic Saari</t>
  </si>
  <si>
    <t>https://adserver.doctoreto.com/www/delivery/cl.php?bannerid=599&amp;zoneid=0&amp;log=no&amp;sig=dedb7b8822932743823f2269a0cf964c28cafc9c1567953c3c65773bf47be4e7&amp;dest=https%3A%2F%2Fdoctoreto.com%2Fcenter%2Fserita-sari-clinic%2FAeyQlO</t>
  </si>
  <si>
    <t>https://adserver.doctoreto.com/www/images/86a3c550bc06aac4b808a35ea51a19f4.gif</t>
  </si>
  <si>
    <t>Serita Clinic Tehran</t>
  </si>
  <si>
    <t>https://adserver.doctoreto.com/www/delivery/cl.php?bannerid=591&amp;zoneid=0&amp;log=no&amp;sig=d33f9a4061a0765b42b18c148d845f009de209ef2abbdc4d8ca02cea384fe7b2&amp;dest=https%3A%2F%2Fdoctoreto.com%2Fcenter%2Fserita-clinic%2FAEnQwD</t>
  </si>
  <si>
    <t>https://adserver.doctoreto.com/www/images/eb47095ef1c48335991ef0284a6ab7ca.gif</t>
  </si>
  <si>
    <t>Shahram Tirandaz</t>
  </si>
  <si>
    <t>Shahram Tirandaz PLP Sex</t>
  </si>
  <si>
    <t>https://adserver.doctoreto.com/www/delivery/cl.php?bannerid=860&amp;zoneid=0&amp;log=no&amp;sig=e73cb8212318bf26d6cf4b54f3488cc0c3ad044a7e7e6ae77f7da173af3307c7&amp;dest=https%3A%2F%2Fdoctoreto.com%2Fdoctor%2Fdr-shhram-tyrandaz%2FGvlQbn</t>
  </si>
  <si>
    <t>https://adserver.doctoreto.com/www/images/321e2d52ff0dd1aec02c52a6c4fa4bbb.gif</t>
  </si>
  <si>
    <t>Shahriar Azizi</t>
  </si>
  <si>
    <t>ShahriaR Azizi sleeve-gastrectom</t>
  </si>
  <si>
    <t>https://adserver.doctoreto.com/www/delivery/cl.php?bannerid=865&amp;zoneid=0&amp;log=no&amp;sig=1315f8f8b5c82feb4f81f888ee51e2f22f268e9d14c75b43ffbee8e30460dcd4&amp;dest=https%3A%2F%2Fdoctoreto.com%2Fdoctor%2Fdr-shahriyar-azizi%2FMOlpvl</t>
  </si>
  <si>
    <t>https://adserver.doctoreto.com/www/images/64702f8b0b9ddd2d642e0dddf93c6db7.gif</t>
  </si>
  <si>
    <t>ShahriaR Azizi thyroid</t>
  </si>
  <si>
    <t>https://adserver.doctoreto.com/www/delivery/cl.php?bannerid=870&amp;zoneid=0&amp;log=no&amp;sig=4c57864f18d6cb7efa0e6edf6e77fd7b26f82b52116544c42f9375fbd3a8a6f0&amp;dest=https%3A%2F%2Fdoctoreto.com%2Fdoctor%2Fdr-shahriyar-azizi%2FMOlpvl%23modal-cnslt-id-64178</t>
  </si>
  <si>
    <t>https://adserver.doctoreto.com/www/images/3b1081166c6604b89c6966fe981ade88.gif</t>
  </si>
  <si>
    <t>Shahrooz Kabiri</t>
  </si>
  <si>
    <t>DR Kabiri</t>
  </si>
  <si>
    <t>https://adserver.doctoreto.com/www/delivery/cl.php?bannerid=773&amp;zoneid=0&amp;log=no&amp;sig=d267dd102d5801f9c65b4e987ef73ec37569e31b51f4c4441e54b66f099118f2&amp;dest=https%3A%2F%2Fdoctoreto.com%2Fdoctor%2Fdr-shahrouz-kabiri%2FqmWgnX</t>
  </si>
  <si>
    <t>https://adserver.doctoreto.com/www/images/e2810f32410f2e7f83b15e7fcece2ec2.gif</t>
  </si>
  <si>
    <t>1405/04/13</t>
  </si>
  <si>
    <t>1405/07/13</t>
  </si>
  <si>
    <t>Shiva Torabi</t>
  </si>
  <si>
    <t>https://adserver.doctoreto.com/www/delivery/cl.php?bannerid=569&amp;zoneid=0&amp;log=no&amp;sig=630ccb1c7eac31dc0d859e1650d21d4188e2a9d79be43236e144d225d937db5e&amp;dest=https%3A%2F%2Fdoctoreto.com%2Fdoctor%2Fdr-shiva-tarabi-ardakani%2FqRzado</t>
  </si>
  <si>
    <t>https://adserver.doctoreto.com/www/images/bad5bc5b3f6788bd9f8595fd58301af2.webp</t>
  </si>
  <si>
    <t>1405/06/11</t>
  </si>
  <si>
    <t>Siamak GhanavaTi</t>
  </si>
  <si>
    <t>Siamak GhanavaTi PLP</t>
  </si>
  <si>
    <t>https://adserver.doctoreto.com/www/delivery/cl.php?bannerid=1090&amp;zoneid=0&amp;log=no&amp;sig=25cb7f86cb442b7cbfded1a2dbc01c550b21b60046138265768c76c2c8e54471&amp;dest=https%3A%2F%2Fdoctoreto.com%2Fdoctor%2Fdr-siamak-zareee-ghanavati%2FGnkAlM</t>
  </si>
  <si>
    <t>https://adserver.doctoreto.com/www/images/e94724d9bbb8605bd8742b3e3a208f66.gif</t>
  </si>
  <si>
    <t>Sima Sanaei</t>
  </si>
  <si>
    <t>Sima Sanaei PLP</t>
  </si>
  <si>
    <t>https://adserver.doctoreto.com/www/delivery/cl.php?bannerid=885&amp;zoneid=0&amp;log=no&amp;sig=dc3f6a658fad4d9ab92de1f225eb56d3f81c4da7a8be1c2221b5ae7e3a7c46db&amp;dest=https%3A%2F%2Fdoctoreto.com%2Fdoctor%2Fdr-sima-sanaie-zaker%2FqjVxKx</t>
  </si>
  <si>
    <t>https://adserver.doctoreto.com/www/images/e42ebcf56c7cd91dcca5cf973bf1afed.gif</t>
  </si>
  <si>
    <t>SoHeila Akbari</t>
  </si>
  <si>
    <t>https://adserver.doctoreto.com/www/delivery/cl.php?bannerid=930&amp;zoneid=0&amp;log=no&amp;sig=75dcc57319e7b1f4bd56744fac075ace6c6d8788e68ad896172f6be1821063a9&amp;dest=https%3A%2F%2Fdoctoreto.com%2Fdoctor%2Fdr-sohylaakbari%2FZQBLyA</t>
  </si>
  <si>
    <t>https://adserver.doctoreto.com/www/images/fd71fd578fbfd73be5c4106f5a3fa039.gif</t>
  </si>
  <si>
    <t>Somaye Samiei</t>
  </si>
  <si>
    <t>Somaye Samiei BLOG 3 Articles</t>
  </si>
  <si>
    <t>https://adserver.doctoreto.com/www/delivery/cl.php?bannerid=875&amp;zoneid=0&amp;log=no&amp;sig=e67854b2b3618d6c9b5f3c2aed28faee8d209138afe795d1e446ef395f240367&amp;dest=https%3A%2F%2Fdoctoreto.com%2Fdoctor%2Fdr-somaye-samiee%2FGwjzzm</t>
  </si>
  <si>
    <t>https://adserver.doctoreto.com/www/images/87513ac970a7de4950d31fc6b418a6de.gif</t>
  </si>
  <si>
    <t>Taher TeyMouri</t>
  </si>
  <si>
    <t>https://adserver.doctoreto.com/www/delivery/cl.php?bannerid=1262&amp;zoneid=0&amp;log=no&amp;sig=abf8b3e848904701fdc49bd001fa99892c2c1c29384af73bc7f077f91ce429cb&amp;dest=https%3A%2F%2Fdoctoreto.com%2Fdoctor%2Fdr-taher-teimoori%2FZYjoWb</t>
  </si>
  <si>
    <t>https://adserver.doctoreto.com/www/images/32335696580ce43741f5f937cd918c76.gif</t>
  </si>
  <si>
    <t>Zahir Khaje Karimi</t>
  </si>
  <si>
    <t>Zahir Khaje Karimi PLP</t>
  </si>
  <si>
    <t>https://adserver.doctoreto.com/www/delivery/cl.php?bannerid=1065&amp;zoneid=0&amp;log=no&amp;sig=303280e8763a860c336d3f714bfc6a28fdca74ab00051b7e439b054215ebadb9&amp;dest=https%3A%2F%2Fdoctoreto.com%2Fdoctor%2Fdr-zahiroddin-khajeh-karimoddini%2FMWjJlG</t>
  </si>
  <si>
    <t>https://adserver.doctoreto.com/www/images/d4f4500428b692723837940348df857c.gif</t>
  </si>
  <si>
    <t>Zakie Moshksari</t>
  </si>
  <si>
    <t>Zakie Moshksari PLP</t>
  </si>
  <si>
    <t>https://adserver.doctoreto.com/www/delivery/cl.php?bannerid=1015&amp;zoneid=0&amp;log=no&amp;sig=66eb706201435fdd20c7d2d5ab0e9013e7700c8f31c37454eccf1a71e68779e5&amp;dest=https%3A%2F%2Fdoctoreto.com%2Fdoctor%2Fdr-zakiyeh-moshksari%2FZvnnnZ</t>
  </si>
  <si>
    <t>https://adserver.doctoreto.com/www/images/d05f91b092d81f82fb48aed27aad27c9.gif</t>
  </si>
  <si>
    <t>Zohreh ParanG</t>
  </si>
  <si>
    <t>Dr Parang</t>
  </si>
  <si>
    <t>https://adserver.doctoreto.com/www/delivery/cl.php?bannerid=658&amp;zoneid=0&amp;log=no&amp;sig=1546c69c355f939b139c80db2eb0f5c0b4f850bab2f1f7e891457ecd2ccaa0c3&amp;dest=https%3A%2F%2Fdoctoreto.com%2Fdoctor%2Fdr-zohre-parang%2FZKQJlN</t>
  </si>
  <si>
    <t>https://adserver.doctoreto.com/www/images/10a494ead3f9b4ad3ec9f7c25af544ea.gif</t>
  </si>
  <si>
    <t>Dr - Amine davoodian</t>
  </si>
  <si>
    <t>https://adserver.doctoreto.com/www/delivery/cl.php?bannerid=645&amp;zoneid=0&amp;log=no&amp;sig=b18de2ee24118d549949a0d04836046466ea42958f4750b50acda92952c8626a&amp;dest=https%3A%2F%2Fdoctoreto.com%2Fdoctor%2Fdr-amineh-davodian%2FZaKLJG</t>
  </si>
  <si>
    <t>https://adserver.doctoreto.com/www/images/763d6be406beb7ceff04eb0e7e3fe843.gif</t>
  </si>
  <si>
    <t>Dr - Fahime Bayati</t>
  </si>
  <si>
    <t>Dr - Fahime Bayati DeskTop</t>
  </si>
  <si>
    <t>https://adserver.doctoreto.com/www/delivery/cl.php?bannerid=651&amp;zoneid=0&amp;log=no&amp;sig=3ad7cefadf27b254891d4163b4094e4d9919b7435afc60dc97235809e21e4d94&amp;dest=https%3A%2F%2Fdoctoreto.com%2Fdoctor%2Fdr-fahime-bayati%2FMNvEBB</t>
  </si>
  <si>
    <t>https://adserver.doctoreto.com/www/images/188deca5b63aeb07b59112ce9c21f36f.gif</t>
  </si>
  <si>
    <t>Dr - Fahime Bayati Mobile</t>
  </si>
  <si>
    <t>https://adserver.doctoreto.com/www/delivery/cl.php?bannerid=655&amp;zoneid=0&amp;log=no&amp;sig=180494a4c3785070e0ece54eb7740da0223d10c592323ee32ce54d3f6dc91d30&amp;dest=https%3A%2F%2Fdoctoreto.com%2Fdoctor%2Fdr-fahime-bayati%2FMNvEBB</t>
  </si>
  <si>
    <t>https://adserver.doctoreto.com/www/images/1d00a32582c12b633ab497042c9d3c41.gif</t>
  </si>
  <si>
    <t>Dr - Sajad Safari</t>
  </si>
  <si>
    <t>https://adserver.doctoreto.com/www/delivery/cl.php?bannerid=652&amp;zoneid=0&amp;log=no&amp;sig=b6561f00971117304c88f480fbfca90ad1a20e91bbdb6057c7dfea9df6c9ce59&amp;dest=https%3A%2F%2Fdoctoreto.com%2Fdoctor%2Fdr-sajad-safarifarshchi%2FMLNejK</t>
  </si>
  <si>
    <t>https://adserver.doctoreto.com/www/images/c69048de9c92aad39df9232f29230cee.gif</t>
  </si>
  <si>
    <t>Dr - Sajad Safari 2</t>
  </si>
  <si>
    <t>https://adserver.doctoreto.com/www/delivery/cl.php?bannerid=653&amp;zoneid=0&amp;log=no&amp;sig=1096072e4240589d46f82b51c50d6e3334ab456d688864fd301c0cac0f25b62b&amp;dest=https%3A%2F%2Fdoctoreto.com%2Fdoctor%2Fdr-sajad-safarifarshchi%2FMLNejK</t>
  </si>
  <si>
    <t>https://adserver.doctoreto.com/www/images/b7fc8c0cebb594c24825591561679bfd.gif</t>
  </si>
  <si>
    <t>Dr - Zahra jourmehr</t>
  </si>
  <si>
    <t>https://adserver.doctoreto.com/www/delivery/cl.php?bannerid=646&amp;zoneid=0&amp;log=no&amp;sig=4747b5556a9535ae1693ac54c4a9c13d77b0a759274856b7d246c727179fa4ff&amp;dest=https%3A%2F%2Fdoctoreto.com%2Fdoctor%2Fdr-zahra-jour-mehr%2FZerDAq</t>
  </si>
  <si>
    <t>https://adserver.doctoreto.com/www/images/75ec4c7fa4305c0e167d73c78c5e8fde.gif</t>
  </si>
  <si>
    <t>Dr. Alireza Esmaeelzadeh</t>
  </si>
  <si>
    <t>Dr. Alireza esmaeelzadeh</t>
  </si>
  <si>
    <t>https://adserver.doctoreto.com/www/delivery/cl.php?bannerid=442&amp;zoneid=0&amp;log=no&amp;sig=01b8ec85c9c7980c4a629076f6fa46b8659f09ffda3624f9942a47c03159099a&amp;dest=https%3A%2F%2Fdoctoreto.com%2Fdoctor%2Falireza-esmaiel-zade%2FGXmgEM</t>
  </si>
  <si>
    <t>https://adserver.doctoreto.com/www/images/af205dbbe66fb821e93c13c76cc1048d.gif</t>
  </si>
  <si>
    <t>Dr. Arezo Ghorabani</t>
  </si>
  <si>
    <t>Dr, Arezo ghorbani</t>
  </si>
  <si>
    <t>https://adserver.doctoreto.com/www/delivery/cl.php?bannerid=429&amp;zoneid=0&amp;log=no&amp;sig=21b2c4ffdaede592c3d38ea260ef00ce738c6158276c925f0f17e6fc479ce09d&amp;dest=https%3A%2F%2Fdoctoreto.com%2Fdoctor%2Farezoo-ghorbani%2FMlpPJM</t>
  </si>
  <si>
    <t>https://adserver.doctoreto.com/www/images/1a4b661b62075cb19c756f13c1da9b85.webp</t>
  </si>
  <si>
    <t>Dr. Arezo Omidbar khoda</t>
  </si>
  <si>
    <t>dr - Arezo Omidvar KHoda II</t>
  </si>
  <si>
    <t>https://adserver.doctoreto.com/www/delivery/cl.php?bannerid=485&amp;zoneid=0&amp;log=no&amp;sig=940a13629195d363ef73442cf2e0c0db7459e750effe9267ac940e1ba7ca20b1&amp;dest=https%3A%2F%2Fdoctoreto.com%2Fdoctor%2Farezuo-omidvarkhoda%2FMmKNze</t>
  </si>
  <si>
    <t>https://adserver.doctoreto.com/www/images/a22e6444f6635212bba97f25b22bac1a.webp</t>
  </si>
  <si>
    <t>Dr. Arezo Omidvarkhoda</t>
  </si>
  <si>
    <t>https://adserver.doctoreto.com/www/delivery/cl.php?bannerid=462&amp;zoneid=0&amp;log=no&amp;sig=2138e2891e6f4ebc4a1f300f1423762311b4a345645ef10db8073dad4c7c5e09&amp;dest=https%3A%2F%2Fdoctoreto.com%2Fdoctor%2Farezuo-omidvarkhoda%2FMmKNze</t>
  </si>
  <si>
    <t>https://adserver.doctoreto.com/www/images/93876d75e56c8bc75275e2427b19a0e4.webp</t>
  </si>
  <si>
    <t>Dr. Farhoodi</t>
  </si>
  <si>
    <t>Farhoodi</t>
  </si>
  <si>
    <t>https://adserver.doctoreto.com/www/delivery/cl.php?bannerid=432&amp;zoneid=0&amp;log=no&amp;sig=bf4e38a396b225c84a9e5766707ea3a5c9d8c35bbee1016bea8655630d2072db&amp;dest=https%3A%2F%2Fdoctoreto.com%2Fcenter%2Ffarhudi-clinic%2FYrboBR</t>
  </si>
  <si>
    <t>https://adserver.doctoreto.com/www/images/dcaf24a6e931f7c291b6ef8b9b9eae61.webp</t>
  </si>
  <si>
    <t>Dr. Farzad Noori</t>
  </si>
  <si>
    <t>https://adserver.doctoreto.com/www/delivery/cl.php?bannerid=430&amp;zoneid=0&amp;log=no&amp;sig=70c37c32dffb2b25964d50b12f8994a297219d4e17e65705353ccc5f3501d49e&amp;dest=https%3A%2F%2Fdoctoreto.com%2Fdoctor%2Fdr-farzad-nouri%2FMdeVXB</t>
  </si>
  <si>
    <t>https://adserver.doctoreto.com/www/images/cc7d877743d894f645f0aa864d87d4b3.webp</t>
  </si>
  <si>
    <t>Dr. Goshaderoo</t>
  </si>
  <si>
    <t>https://adserver.doctoreto.com/www/delivery/cl.php?bannerid=406&amp;zoneid=0&amp;log=no&amp;sig=7995cd9075127f3db9645fef126db6416acd10b494569c545646def073667d7b&amp;dest=https%3A%2F%2Fdoctoreto.com%2Fdoctor%2Fdr-aziz-goshadeh-ro%2FGKPDoM</t>
  </si>
  <si>
    <t>https://adserver.doctoreto.com/www/images/a2948c653558a2250afc92de749f8cd0.webp</t>
  </si>
  <si>
    <t>Dr. Jafari</t>
  </si>
  <si>
    <t>https://adserver.doctoreto.com/www/delivery/cl.php?bannerid=331&amp;zoneid=0&amp;log=no&amp;sig=81251ed906bd06400c6f44bf84d33dd2985f14d9d8c37fc724747cee31b1449d&amp;dest=https%3A%2F%2Fdoctoreto.com%2Fdoctor%2Fdr-mohammadreza-jafari%2FGDrNvZ</t>
  </si>
  <si>
    <t>https://adserver.doctoreto.com/www/images/0800d8be3d8db30885f7d624f521892a.jpg</t>
  </si>
  <si>
    <t>Dr. Moghadam</t>
  </si>
  <si>
    <t>https://adserver.doctoreto.com/www/delivery/cl.php?bannerid=453&amp;zoneid=0&amp;log=no&amp;sig=72bafb0e7284aa7333942a6c544062c01677123fa6996175be8889a44e4e7311&amp;dest=https%3A%2F%2Fdoctoreto.com%2Fdoctor%2Fdr-hamid-vali-zadeh-moghaddam%2FGpDRPG%3FsearchedFrom%3DheaderAutoFill</t>
  </si>
  <si>
    <t>https://adserver.doctoreto.com/www/images/00ea4294f5782de03ca1c4774ec5b428.webp</t>
  </si>
  <si>
    <t>Dr. Mohsen Dadashi</t>
  </si>
  <si>
    <t>Dr. Dadashi</t>
  </si>
  <si>
    <t>https://adserver.doctoreto.com/www/delivery/cl.php?bannerid=454&amp;zoneid=0&amp;log=no&amp;sig=7cafda8170496c992ac68f5a33c9ed8de2e1079cc0c1d0f26d44db625733a0d7&amp;dest=https%3A%2F%2Fdoctoreto.com%2Fcenter%2Fdey-znjan-clinic%2FMGoVJX</t>
  </si>
  <si>
    <t>https://adserver.doctoreto.com/www/images/749866b669f3146eb1bed2d8f46ee6ba.webp</t>
  </si>
  <si>
    <t>Dr. Naghm,e Avari</t>
  </si>
  <si>
    <t>Dr. Naghme Avari 01</t>
  </si>
  <si>
    <t>https://adserver.doctoreto.com/www/delivery/cl.php?bannerid=475&amp;zoneid=0&amp;log=no&amp;sig=f2912bff5d31d05f253f5fed3a284880d52d3d6c05b3603a0b174f23cead9e6b&amp;dest=https%3A%2F%2Fdoctoreto.com%2Fdoctor%2Fnaghme-avari%2FMkdLAb</t>
  </si>
  <si>
    <t>https://adserver.doctoreto.com/www/images/a97fec6f81f2f4dd49bdd9b434911d5e.webp</t>
  </si>
  <si>
    <t>Dr. Naghme Avari 02</t>
  </si>
  <si>
    <t>https://adserver.doctoreto.com/www/delivery/cl.php?bannerid=476&amp;zoneid=0&amp;log=no&amp;sig=33a1adb5fafb2fdd32dbc0c5b7bbbf7eb5833cc08e4905b5ed5a2af88b03d8ce&amp;dest=https%3A%2F%2Fdoctoreto.com%2Fdoctor%2Fnaghme-avari%2FMkdLAb</t>
  </si>
  <si>
    <t>https://adserver.doctoreto.com/www/images/c7be54b1a5d11dadf218953f1a0013c4.webp</t>
  </si>
  <si>
    <t>Dr. Naghme Avari 03</t>
  </si>
  <si>
    <t>https://adserver.doctoreto.com/www/delivery/cl.php?bannerid=595&amp;zoneid=0&amp;log=no&amp;sig=1f887c16ae6378655a4cf67c5a31990921febd077a3cdfa3b9b066a194a6b1c2&amp;dest=https%3A%2F%2Fdoctoreto.com%2Fdoctor%2Fnaghme-avari%2FMkdLAb</t>
  </si>
  <si>
    <t>https://adserver.doctoreto.com/www/images/fe98f46b5829e1c72aac0681aaa31620.gif</t>
  </si>
  <si>
    <t>DR. Ramin Afshari</t>
  </si>
  <si>
    <t>https://adserver.doctoreto.com/www/delivery/cl.php?bannerid=473&amp;zoneid=0&amp;log=no&amp;sig=d1fc80c8471082c1b6ab0dcacd6647494348a880eb74b3f9dd9133db9c0fb3cb&amp;dest=https%3A%2F%2Fdoctoreto.com%2Fdoctor%2Fdr-ramin-afshari%2FnqjgyG</t>
  </si>
  <si>
    <t>https://adserver.doctoreto.com/www/images/b81a3fcb7e9a9e57d094ce2634956ae2.webp</t>
  </si>
  <si>
    <t>DR. Tajali</t>
  </si>
  <si>
    <t>Dr. Tajali</t>
  </si>
  <si>
    <t>https://adserver.doctoreto.com/www/delivery/cl.php?bannerid=374&amp;zoneid=0&amp;log=no&amp;sig=54dac2c4a61bb1087716263c1bc444a2d6c6c62bf1c13fa905875b971521f125&amp;dest=https%3A%2F%2Fdoctoreto.com%2Fdoctor%2Fdr-afshin-tajalli%2FqkbKAZ</t>
  </si>
  <si>
    <t>https://adserver.doctoreto.com/www/images/845ea3e2a478215e606a15d79e891849.webp</t>
  </si>
  <si>
    <t>Dr. Yazdan Panah</t>
  </si>
  <si>
    <t>https://adserver.doctoreto.com/www/delivery/cl.php?bannerid=459&amp;zoneid=0&amp;log=no&amp;sig=008784fe036c3afcecb03dae2f4ee9896af800b177fe4fa84b8d8fbab809e24c&amp;dest=https%3A%2F%2Fdoctoreto.com%2Fdoctor%2Fdr-shahram-yazdanpanah%2FGvzYkG%3FsearchedFrom%3DhomeAutoFill</t>
  </si>
  <si>
    <t>https://adserver.doctoreto.com/www/images/22fb61e69e8c050ad385458804cf7dfd.webp</t>
  </si>
  <si>
    <t>DR. Zahra Kiani</t>
  </si>
  <si>
    <t>Dr. Zahra Kiani</t>
  </si>
  <si>
    <t>https://adserver.doctoreto.com/www/delivery/cl.php?bannerid=477&amp;zoneid=0&amp;log=no&amp;sig=0ff600b1ac4e548dffa1e581e24a14d69d8d9a5c1bddedc20363b570bc23d629&amp;dest=https%3A%2F%2Fdoctoreto.com%2Fdoctor%2Fdr-zahra-kiani-harchehgani%2FZrwDAj</t>
  </si>
  <si>
    <t>https://adserver.doctoreto.com/www/images/2aa4ecce9394edda5308098832cb030d.webp</t>
  </si>
  <si>
    <t>Farhoudi Clinic</t>
  </si>
  <si>
    <t>https://adserver.doctoreto.com/www/delivery/cl.php?bannerid=512&amp;zoneid=0&amp;log=no&amp;sig=9a74be7d07ddc109a9eb7dab1bdf9ff9a62fda30e1b0062928120b7acca1b74d&amp;dest=https%3A%2F%2Fdoctoreto.com%2Fcenter%2Ffarhudi-clinic%2FYrboBR</t>
  </si>
  <si>
    <t>https://adserver.doctoreto.com/www/images/f6f5418365fd70c8b107315b02a5f3b2.webp</t>
  </si>
  <si>
    <t>Markaz-e Jame urology Dr Ghazi</t>
  </si>
  <si>
    <t>Urology center</t>
  </si>
  <si>
    <t>https://adserver.doctoreto.com/www/delivery/cl.php?bannerid=316&amp;zoneid=0&amp;log=no&amp;sig=7d3d3e205ee5303b2acde80b3656611e45c257708d0ab8c3f36ecdeab7071ab4&amp;dest=https%3A%2F%2Fdoctoreto.com%2Fcenter%2Fdr-ghazi-clinic%2FAjNeEe%3FdoctorsSpecialitySlug%3Dmidwife</t>
  </si>
  <si>
    <t>https://adserver.doctoreto.com/www/images/aeadcbb7bb1a71cf180d91411c10a71b.webp</t>
  </si>
  <si>
    <t>NDK Mind Clinic</t>
  </si>
  <si>
    <t>NDK MInd</t>
  </si>
  <si>
    <t>https://adserver.doctoreto.com/www/delivery/cl.php?bannerid=501&amp;zoneid=0&amp;log=no&amp;sig=2d3e1faed7c4b54c2082df1b77a08d77a92e17f3bacc537cb5d2c0e2bc2b2a33&amp;dest=https%3A%2F%2Fdoctoreto.com%2Fcenter%2Fderakhshesh-kamyabi-tehran-clinic%2FYKxqLl</t>
  </si>
  <si>
    <t>https://adserver.doctoreto.com/www/images/b33cc160e070e5fc34032f8f0376e0da.png</t>
  </si>
  <si>
    <t>Place - Afkar</t>
  </si>
  <si>
    <t>https://adserver.doctoreto.com/www/delivery/cl.php?bannerid=648&amp;zoneid=0&amp;log=no&amp;sig=5a6f22181768b97ba79e7e69f24e1220880e056ef4049093274635b12e8ce41b&amp;dest=https%3A%2F%2Fdoctoreto.com%2Fcenter%2Fafkar-shiraz-clinic%2FMJRzjJ</t>
  </si>
  <si>
    <t>https://adserver.doctoreto.com/www/images/1f0974b8fa9ab88359f29073de03f5ff.gif</t>
  </si>
  <si>
    <t>1405/04/06</t>
  </si>
  <si>
    <t>1405/07/06</t>
  </si>
  <si>
    <t>shahrzad</t>
  </si>
  <si>
    <t>1405/06/25</t>
  </si>
  <si>
    <t>elahe</t>
  </si>
  <si>
    <t>1405/02/29</t>
  </si>
  <si>
    <t>1405/08/26</t>
  </si>
  <si>
    <t>1405/03/15</t>
  </si>
  <si>
    <t>1405/06/15</t>
  </si>
  <si>
    <t>1405/05/16</t>
  </si>
  <si>
    <t>1405/05/25</t>
  </si>
  <si>
    <t>1405/08/25</t>
  </si>
  <si>
    <t>1405/09/16</t>
  </si>
  <si>
    <t>1405/04/04</t>
  </si>
  <si>
    <t>1405/07/04</t>
  </si>
  <si>
    <t>1405/05/24</t>
  </si>
  <si>
    <t>1405/08/24</t>
  </si>
  <si>
    <t>Mohamad</t>
  </si>
  <si>
    <t>1405/02/30</t>
  </si>
  <si>
    <t>Shaqayeq</t>
  </si>
  <si>
    <t>1405/02/16</t>
  </si>
  <si>
    <t>1405/05/28</t>
  </si>
  <si>
    <t>1405/08/28</t>
  </si>
  <si>
    <t>Elie</t>
  </si>
  <si>
    <t>1405/06/06</t>
  </si>
  <si>
    <t>1405/03/19</t>
  </si>
  <si>
    <t>1405/06/19</t>
  </si>
  <si>
    <t>1405/03/20</t>
  </si>
  <si>
    <t>1405/06/20</t>
  </si>
  <si>
    <t>1405/09/11</t>
  </si>
  <si>
    <t>1405/09/03</t>
  </si>
  <si>
    <t>1405/04/17</t>
  </si>
  <si>
    <t>1405/07/17</t>
  </si>
  <si>
    <t>1405/06/14</t>
  </si>
  <si>
    <t>1405/09/14</t>
  </si>
  <si>
    <t>1405/07/26</t>
  </si>
  <si>
    <t>1405/04/07</t>
  </si>
  <si>
    <t>1405/07/07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</si>
</sst>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F172A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001C"/>
      </patternFill>
    </fill>
    <fill>
      <patternFill patternType="solid">
        <fgColor theme="0"/>
        <bgColor rgb="FF006599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60009E"/>
      </patternFill>
    </fill>
    <fill>
      <patternFill patternType="solid">
        <fgColor theme="0"/>
        <bgColor rgb="FF005AA4"/>
      </patternFill>
    </fill>
    <fill>
      <patternFill patternType="solid">
        <fgColor theme="0"/>
        <bgColor rgb="FF009E60"/>
      </patternFill>
    </fill>
    <fill>
      <patternFill patternType="solid">
        <fgColor theme="0"/>
        <bgColor rgb="FFC0003E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00C638"/>
      </patternFill>
    </fill>
    <fill>
      <patternFill patternType="solid">
        <fgColor theme="0"/>
        <bgColor rgb="FF00E21C"/>
      </patternFill>
    </fill>
    <fill>
      <patternFill patternType="solid">
        <fgColor theme="0"/>
        <bgColor rgb="FF00F30B"/>
      </patternFill>
    </fill>
    <fill>
      <patternFill patternType="solid">
        <fgColor theme="0"/>
        <bgColor rgb="FF9E0060"/>
      </patternFill>
    </fill>
    <fill>
      <patternFill patternType="solid">
        <fgColor theme="0"/>
        <bgColor rgb="FF00D12D"/>
      </patternFill>
    </fill>
    <fill>
      <patternFill patternType="solid">
        <fgColor theme="0"/>
        <bgColor rgb="FFD70027"/>
      </patternFill>
    </fill>
    <fill>
      <patternFill patternType="solid">
        <fgColor theme="0"/>
        <bgColor rgb="FF0000FF"/>
      </patternFill>
    </fill>
    <fill>
      <patternFill patternType="solid">
        <fgColor theme="0"/>
        <bgColor rgb="FF00D727"/>
      </patternFill>
    </fill>
    <fill>
      <patternFill patternType="solid">
        <fgColor theme="0"/>
        <bgColor rgb="FF4F00AF"/>
      </patternFill>
    </fill>
    <fill>
      <patternFill patternType="solid">
        <fgColor theme="0"/>
        <bgColor rgb="FFA4005A"/>
      </patternFill>
    </fill>
    <fill>
      <patternFill patternType="solid">
        <fgColor theme="0"/>
        <bgColor rgb="FF7C0082"/>
      </patternFill>
    </fill>
    <fill>
      <patternFill patternType="solid">
        <fgColor theme="0"/>
        <bgColor rgb="FF5A00A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1" applyNumberFormat="1" applyFont="1" applyBorder="1"/>
    <xf numFmtId="0" fontId="0" fillId="3" borderId="1" xfId="0" applyFill="1" applyBorder="1"/>
    <xf numFmtId="43" fontId="0" fillId="0" borderId="1" xfId="1" applyFont="1" applyBorder="1"/>
    <xf numFmtId="164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" borderId="0" xfId="0" applyFill="1"/>
    <xf numFmtId="0" fontId="2" fillId="0" borderId="1" xfId="0" applyFont="1" applyBorder="1"/>
    <xf numFmtId="164" fontId="2" fillId="0" borderId="1" xfId="1" applyNumberFormat="1" applyFont="1" applyBorder="1"/>
    <xf numFmtId="0" fontId="3" fillId="0" borderId="1" xfId="0" applyFont="1" applyBorder="1"/>
    <xf numFmtId="4" fontId="2" fillId="0" borderId="1" xfId="0" applyNumberFormat="1" applyFont="1" applyBorder="1"/>
    <xf numFmtId="0" fontId="3" fillId="0" borderId="1" xfId="0" applyFont="1" applyBorder="1" applyAlignment="1">
      <alignment vertical="center"/>
    </xf>
    <xf numFmtId="43" fontId="2" fillId="0" borderId="1" xfId="1" applyFont="1" applyBorder="1"/>
    <xf numFmtId="0" fontId="0" fillId="0" borderId="2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4ED9-1872-4940-8F5B-200650C6928A}">
  <dimension ref="A1:J230"/>
  <sheetViews>
    <sheetView tabSelected="1" topLeftCell="D192" workbookViewId="0">
      <selection sqref="A1:H217"/>
    </sheetView>
  </sheetViews>
  <sheetFormatPr defaultRowHeight="14.4" x14ac:dyDescent="0.3"/>
  <cols>
    <col min="1" max="1" width="24.5546875" bestFit="1" customWidth="1"/>
    <col min="2" max="2" width="34.44140625" bestFit="1" customWidth="1"/>
    <col min="3" max="3" width="223.109375" bestFit="1" customWidth="1"/>
    <col min="4" max="4" width="75.88671875" bestFit="1" customWidth="1"/>
    <col min="5" max="5" width="10.33203125" bestFit="1" customWidth="1"/>
    <col min="6" max="6" width="10.33203125" style="26" bestFit="1" customWidth="1"/>
    <col min="7" max="7" width="15.109375" bestFit="1" customWidth="1"/>
    <col min="8" max="8" width="14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10" x14ac:dyDescent="0.3">
      <c r="A2" s="1" t="s">
        <v>8</v>
      </c>
      <c r="B2" s="1" t="s">
        <v>8</v>
      </c>
      <c r="C2" s="1" t="s">
        <v>9</v>
      </c>
      <c r="D2" s="1" t="s">
        <v>10</v>
      </c>
      <c r="E2" s="1" t="s">
        <v>11</v>
      </c>
      <c r="F2" s="4" t="s">
        <v>12</v>
      </c>
      <c r="G2" s="1" t="s">
        <v>13</v>
      </c>
      <c r="H2" s="5">
        <v>75000000</v>
      </c>
      <c r="J2" s="6"/>
    </row>
    <row r="3" spans="1:10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7" t="s">
        <v>19</v>
      </c>
      <c r="G3" s="1" t="s">
        <v>20</v>
      </c>
      <c r="H3" s="5">
        <v>60000000</v>
      </c>
    </row>
    <row r="4" spans="1:10" x14ac:dyDescent="0.3">
      <c r="A4" s="1" t="s">
        <v>21</v>
      </c>
      <c r="B4" s="1" t="s">
        <v>21</v>
      </c>
      <c r="C4" s="1" t="s">
        <v>22</v>
      </c>
      <c r="D4" s="1" t="s">
        <v>23</v>
      </c>
      <c r="E4" s="1" t="s">
        <v>24</v>
      </c>
      <c r="F4" s="8" t="s">
        <v>25</v>
      </c>
      <c r="G4" s="1" t="s">
        <v>26</v>
      </c>
      <c r="H4" s="5">
        <v>160000000</v>
      </c>
    </row>
    <row r="5" spans="1:10" x14ac:dyDescent="0.3">
      <c r="A5" s="1" t="s">
        <v>21</v>
      </c>
      <c r="B5" s="1" t="s">
        <v>27</v>
      </c>
      <c r="C5" s="1" t="s">
        <v>28</v>
      </c>
      <c r="D5" s="1" t="s">
        <v>29</v>
      </c>
      <c r="E5" s="1" t="s">
        <v>24</v>
      </c>
      <c r="F5" s="8" t="s">
        <v>25</v>
      </c>
      <c r="G5" s="1" t="s">
        <v>26</v>
      </c>
      <c r="H5" s="5">
        <v>165000000</v>
      </c>
    </row>
    <row r="6" spans="1:10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9" t="s">
        <v>35</v>
      </c>
      <c r="G6" s="1" t="s">
        <v>20</v>
      </c>
      <c r="H6" s="5">
        <v>36300000</v>
      </c>
    </row>
    <row r="7" spans="1:10" x14ac:dyDescent="0.3">
      <c r="A7" s="1" t="s">
        <v>36</v>
      </c>
      <c r="B7" s="1" t="s">
        <v>36</v>
      </c>
      <c r="C7" s="1" t="s">
        <v>37</v>
      </c>
      <c r="D7" s="1" t="s">
        <v>38</v>
      </c>
      <c r="E7" s="1" t="s">
        <v>39</v>
      </c>
      <c r="F7" s="10" t="s">
        <v>40</v>
      </c>
      <c r="G7" s="1" t="s">
        <v>41</v>
      </c>
      <c r="H7" s="5">
        <v>100000000</v>
      </c>
    </row>
    <row r="8" spans="1:10" x14ac:dyDescent="0.3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1" t="s">
        <v>47</v>
      </c>
      <c r="G8" s="1" t="s">
        <v>48</v>
      </c>
      <c r="H8" s="5">
        <v>143000000</v>
      </c>
    </row>
    <row r="9" spans="1:10" x14ac:dyDescent="0.3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8" t="s">
        <v>54</v>
      </c>
      <c r="G9" s="2" t="s">
        <v>55</v>
      </c>
      <c r="H9" s="5">
        <v>80000000</v>
      </c>
    </row>
    <row r="10" spans="1:10" x14ac:dyDescent="0.3">
      <c r="A10" s="1" t="s">
        <v>56</v>
      </c>
      <c r="B10" s="1" t="s">
        <v>56</v>
      </c>
      <c r="C10" s="1" t="s">
        <v>57</v>
      </c>
      <c r="D10" s="1" t="s">
        <v>58</v>
      </c>
      <c r="E10" s="1" t="s">
        <v>59</v>
      </c>
      <c r="F10" s="8" t="s">
        <v>60</v>
      </c>
      <c r="G10" s="1" t="s">
        <v>55</v>
      </c>
      <c r="H10" s="5">
        <v>168000000</v>
      </c>
    </row>
    <row r="11" spans="1:10" x14ac:dyDescent="0.3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F11" s="12" t="s">
        <v>66</v>
      </c>
      <c r="G11" s="1" t="s">
        <v>41</v>
      </c>
      <c r="H11" s="5">
        <v>66000000</v>
      </c>
    </row>
    <row r="12" spans="1:10" x14ac:dyDescent="0.3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71</v>
      </c>
      <c r="F12" s="8" t="s">
        <v>72</v>
      </c>
      <c r="G12" s="1" t="s">
        <v>48</v>
      </c>
      <c r="H12" s="5">
        <v>40100000</v>
      </c>
    </row>
    <row r="13" spans="1:10" x14ac:dyDescent="0.3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66</v>
      </c>
      <c r="F13" s="13" t="s">
        <v>77</v>
      </c>
      <c r="G13" s="1" t="s">
        <v>20</v>
      </c>
      <c r="H13" s="5">
        <v>44000000</v>
      </c>
    </row>
    <row r="14" spans="1:10" x14ac:dyDescent="0.3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4" t="s">
        <v>83</v>
      </c>
      <c r="G14" s="1" t="s">
        <v>26</v>
      </c>
      <c r="H14" s="5">
        <v>70000000</v>
      </c>
    </row>
    <row r="15" spans="1:10" x14ac:dyDescent="0.3">
      <c r="A15" s="1" t="s">
        <v>84</v>
      </c>
      <c r="B15" s="1" t="s">
        <v>84</v>
      </c>
      <c r="C15" s="1" t="s">
        <v>85</v>
      </c>
      <c r="D15" s="1" t="s">
        <v>86</v>
      </c>
      <c r="E15" s="1" t="s">
        <v>87</v>
      </c>
      <c r="F15" s="15" t="s">
        <v>88</v>
      </c>
      <c r="G15" s="1"/>
      <c r="H15" s="5"/>
    </row>
    <row r="16" spans="1:10" x14ac:dyDescent="0.3">
      <c r="A16" s="1" t="s">
        <v>89</v>
      </c>
      <c r="B16" s="1" t="s">
        <v>89</v>
      </c>
      <c r="C16" s="1" t="s">
        <v>90</v>
      </c>
      <c r="D16" s="1" t="s">
        <v>91</v>
      </c>
      <c r="E16" s="1" t="s">
        <v>92</v>
      </c>
      <c r="F16" s="16" t="s">
        <v>93</v>
      </c>
      <c r="G16" s="1" t="s">
        <v>94</v>
      </c>
      <c r="H16" s="5">
        <v>190000000</v>
      </c>
    </row>
    <row r="17" spans="1:8" x14ac:dyDescent="0.3">
      <c r="A17" s="1" t="s">
        <v>89</v>
      </c>
      <c r="B17" s="1" t="s">
        <v>95</v>
      </c>
      <c r="C17" s="1" t="s">
        <v>96</v>
      </c>
      <c r="D17" s="1" t="s">
        <v>97</v>
      </c>
      <c r="E17" s="1" t="s">
        <v>92</v>
      </c>
      <c r="F17" s="16" t="s">
        <v>93</v>
      </c>
      <c r="G17" s="1" t="s">
        <v>94</v>
      </c>
      <c r="H17" s="5">
        <v>190000000</v>
      </c>
    </row>
    <row r="18" spans="1:8" x14ac:dyDescent="0.3">
      <c r="A18" s="1" t="s">
        <v>89</v>
      </c>
      <c r="B18" s="1" t="s">
        <v>98</v>
      </c>
      <c r="C18" s="1" t="s">
        <v>99</v>
      </c>
      <c r="D18" s="1" t="s">
        <v>100</v>
      </c>
      <c r="E18" s="1" t="s">
        <v>92</v>
      </c>
      <c r="F18" s="16" t="s">
        <v>93</v>
      </c>
      <c r="G18" s="1" t="s">
        <v>94</v>
      </c>
      <c r="H18" s="5">
        <v>190000000</v>
      </c>
    </row>
    <row r="19" spans="1:8" x14ac:dyDescent="0.3">
      <c r="A19" s="1" t="s">
        <v>101</v>
      </c>
      <c r="B19" s="1" t="s">
        <v>102</v>
      </c>
      <c r="C19" s="1" t="s">
        <v>103</v>
      </c>
      <c r="D19" s="1" t="s">
        <v>104</v>
      </c>
      <c r="E19" s="1" t="s">
        <v>105</v>
      </c>
      <c r="F19" s="17" t="s">
        <v>106</v>
      </c>
      <c r="G19" s="1" t="s">
        <v>20</v>
      </c>
      <c r="H19" s="5"/>
    </row>
    <row r="20" spans="1:8" x14ac:dyDescent="0.3">
      <c r="A20" s="1" t="s">
        <v>107</v>
      </c>
      <c r="B20" s="1" t="s">
        <v>107</v>
      </c>
      <c r="C20" s="1" t="s">
        <v>108</v>
      </c>
      <c r="D20" s="1" t="s">
        <v>109</v>
      </c>
      <c r="E20" s="1" t="s">
        <v>110</v>
      </c>
      <c r="F20" s="18" t="s">
        <v>111</v>
      </c>
      <c r="G20" s="1" t="s">
        <v>26</v>
      </c>
      <c r="H20" s="5"/>
    </row>
    <row r="21" spans="1:8" x14ac:dyDescent="0.3">
      <c r="A21" s="1" t="s">
        <v>112</v>
      </c>
      <c r="B21" s="1" t="s">
        <v>113</v>
      </c>
      <c r="C21" s="1" t="s">
        <v>114</v>
      </c>
      <c r="D21" s="1" t="s">
        <v>115</v>
      </c>
      <c r="E21" s="1" t="s">
        <v>116</v>
      </c>
      <c r="F21" s="19" t="s">
        <v>117</v>
      </c>
      <c r="G21" s="1" t="s">
        <v>55</v>
      </c>
      <c r="H21" s="5">
        <v>78000000</v>
      </c>
    </row>
    <row r="22" spans="1:8" x14ac:dyDescent="0.3">
      <c r="A22" s="1" t="s">
        <v>118</v>
      </c>
      <c r="B22" s="1" t="s">
        <v>118</v>
      </c>
      <c r="C22" s="1" t="s">
        <v>119</v>
      </c>
      <c r="D22" s="1" t="s">
        <v>120</v>
      </c>
      <c r="E22" s="1" t="s">
        <v>121</v>
      </c>
      <c r="F22" s="20" t="s">
        <v>122</v>
      </c>
      <c r="G22" s="1" t="s">
        <v>41</v>
      </c>
      <c r="H22" s="5">
        <v>66000000</v>
      </c>
    </row>
    <row r="23" spans="1:8" x14ac:dyDescent="0.3">
      <c r="A23" s="1" t="s">
        <v>123</v>
      </c>
      <c r="B23" s="1" t="s">
        <v>124</v>
      </c>
      <c r="C23" s="1" t="s">
        <v>125</v>
      </c>
      <c r="D23" s="1" t="s">
        <v>126</v>
      </c>
      <c r="E23" s="1" t="s">
        <v>127</v>
      </c>
      <c r="F23" s="21" t="s">
        <v>128</v>
      </c>
      <c r="G23" s="1"/>
      <c r="H23" s="5"/>
    </row>
    <row r="24" spans="1:8" x14ac:dyDescent="0.3">
      <c r="A24" s="1" t="s">
        <v>129</v>
      </c>
      <c r="B24" s="1" t="s">
        <v>130</v>
      </c>
      <c r="C24" s="1" t="s">
        <v>131</v>
      </c>
      <c r="D24" s="1" t="s">
        <v>132</v>
      </c>
      <c r="E24" s="1" t="s">
        <v>133</v>
      </c>
      <c r="F24" s="8" t="s">
        <v>134</v>
      </c>
      <c r="G24" s="1" t="s">
        <v>55</v>
      </c>
      <c r="H24" s="5">
        <v>50000000</v>
      </c>
    </row>
    <row r="25" spans="1:8" x14ac:dyDescent="0.3">
      <c r="A25" s="1" t="s">
        <v>135</v>
      </c>
      <c r="B25" s="1" t="s">
        <v>136</v>
      </c>
      <c r="C25" s="1" t="s">
        <v>137</v>
      </c>
      <c r="D25" s="1" t="s">
        <v>138</v>
      </c>
      <c r="E25" s="1" t="s">
        <v>139</v>
      </c>
      <c r="F25" s="8" t="s">
        <v>140</v>
      </c>
      <c r="G25" s="1" t="s">
        <v>141</v>
      </c>
      <c r="H25" s="5">
        <v>45000000</v>
      </c>
    </row>
    <row r="26" spans="1:8" x14ac:dyDescent="0.3">
      <c r="A26" s="1" t="s">
        <v>142</v>
      </c>
      <c r="B26" s="1" t="s">
        <v>143</v>
      </c>
      <c r="C26" s="1" t="s">
        <v>144</v>
      </c>
      <c r="D26" s="1" t="s">
        <v>145</v>
      </c>
      <c r="E26" s="1" t="s">
        <v>146</v>
      </c>
      <c r="F26" s="8" t="s">
        <v>147</v>
      </c>
      <c r="G26" s="1"/>
      <c r="H26" s="5"/>
    </row>
    <row r="27" spans="1:8" x14ac:dyDescent="0.3">
      <c r="A27" s="1" t="s">
        <v>148</v>
      </c>
      <c r="B27" s="1" t="s">
        <v>149</v>
      </c>
      <c r="C27" s="1" t="s">
        <v>150</v>
      </c>
      <c r="D27" s="1" t="s">
        <v>151</v>
      </c>
      <c r="E27" s="1" t="s">
        <v>152</v>
      </c>
      <c r="F27" s="8" t="s">
        <v>153</v>
      </c>
      <c r="G27" s="1"/>
      <c r="H27" s="5"/>
    </row>
    <row r="28" spans="1:8" x14ac:dyDescent="0.3">
      <c r="A28" s="1" t="s">
        <v>148</v>
      </c>
      <c r="B28" s="1" t="s">
        <v>154</v>
      </c>
      <c r="C28" s="1" t="s">
        <v>155</v>
      </c>
      <c r="D28" s="1" t="s">
        <v>156</v>
      </c>
      <c r="E28" s="1" t="s">
        <v>152</v>
      </c>
      <c r="F28" s="8" t="s">
        <v>153</v>
      </c>
      <c r="G28" s="1"/>
      <c r="H28" s="5"/>
    </row>
    <row r="29" spans="1:8" x14ac:dyDescent="0.3">
      <c r="A29" s="1" t="s">
        <v>157</v>
      </c>
      <c r="B29" s="1" t="s">
        <v>158</v>
      </c>
      <c r="C29" s="1" t="s">
        <v>159</v>
      </c>
      <c r="D29" s="1" t="s">
        <v>160</v>
      </c>
      <c r="E29" s="1" t="s">
        <v>161</v>
      </c>
      <c r="F29" s="8" t="s">
        <v>162</v>
      </c>
      <c r="G29" s="1"/>
      <c r="H29" s="5"/>
    </row>
    <row r="30" spans="1:8" x14ac:dyDescent="0.3">
      <c r="A30" s="1" t="s">
        <v>163</v>
      </c>
      <c r="B30" s="1" t="s">
        <v>164</v>
      </c>
      <c r="C30" s="1" t="s">
        <v>165</v>
      </c>
      <c r="D30" s="1" t="s">
        <v>166</v>
      </c>
      <c r="E30" s="1" t="s">
        <v>167</v>
      </c>
      <c r="F30" s="8" t="s">
        <v>168</v>
      </c>
      <c r="G30" s="1"/>
      <c r="H30" s="5"/>
    </row>
    <row r="31" spans="1:8" x14ac:dyDescent="0.3">
      <c r="A31" s="1" t="s">
        <v>169</v>
      </c>
      <c r="B31" s="1" t="s">
        <v>170</v>
      </c>
      <c r="C31" s="1" t="s">
        <v>171</v>
      </c>
      <c r="D31" s="1" t="s">
        <v>172</v>
      </c>
      <c r="E31" s="1" t="s">
        <v>173</v>
      </c>
      <c r="F31" s="22" t="s">
        <v>174</v>
      </c>
      <c r="G31" s="1"/>
      <c r="H31" s="5"/>
    </row>
    <row r="32" spans="1:8" x14ac:dyDescent="0.3">
      <c r="A32" s="1" t="s">
        <v>175</v>
      </c>
      <c r="B32" s="1" t="s">
        <v>176</v>
      </c>
      <c r="C32" s="1" t="s">
        <v>177</v>
      </c>
      <c r="D32" s="1" t="s">
        <v>178</v>
      </c>
      <c r="E32" s="1" t="s">
        <v>34</v>
      </c>
      <c r="F32" s="23" t="s">
        <v>35</v>
      </c>
      <c r="G32" s="33" t="s">
        <v>26</v>
      </c>
      <c r="H32" s="5">
        <f>VLOOKUP(A32,Sheet2!A:E,5,0)</f>
        <v>132000000</v>
      </c>
    </row>
    <row r="33" spans="1:8" x14ac:dyDescent="0.3">
      <c r="A33" s="1" t="s">
        <v>175</v>
      </c>
      <c r="B33" s="1" t="s">
        <v>179</v>
      </c>
      <c r="C33" s="1" t="s">
        <v>180</v>
      </c>
      <c r="D33" s="1" t="s">
        <v>181</v>
      </c>
      <c r="E33" s="1" t="s">
        <v>34</v>
      </c>
      <c r="F33" s="23" t="s">
        <v>35</v>
      </c>
      <c r="G33" s="1" t="s">
        <v>26</v>
      </c>
      <c r="H33" s="5">
        <f>VLOOKUP(A33,Sheet2!A:E,5,0)</f>
        <v>132000000</v>
      </c>
    </row>
    <row r="34" spans="1:8" x14ac:dyDescent="0.3">
      <c r="A34" s="1" t="s">
        <v>182</v>
      </c>
      <c r="B34" s="1" t="s">
        <v>183</v>
      </c>
      <c r="C34" s="1" t="s">
        <v>184</v>
      </c>
      <c r="D34" s="1" t="s">
        <v>185</v>
      </c>
      <c r="E34" s="1" t="s">
        <v>186</v>
      </c>
      <c r="F34" s="24" t="s">
        <v>187</v>
      </c>
      <c r="G34" s="1" t="s">
        <v>13</v>
      </c>
      <c r="H34" s="5">
        <f>VLOOKUP(A34,Sheet2!A:E,5,0)</f>
        <v>55000000</v>
      </c>
    </row>
    <row r="35" spans="1:8" x14ac:dyDescent="0.3">
      <c r="A35" s="1" t="s">
        <v>188</v>
      </c>
      <c r="B35" s="1" t="s">
        <v>188</v>
      </c>
      <c r="C35" s="1" t="s">
        <v>189</v>
      </c>
      <c r="D35" s="1" t="s">
        <v>190</v>
      </c>
      <c r="E35" s="1" t="str">
        <f>VLOOKUP(B35,Sheet2!A:C,3,0)</f>
        <v>1405/04/06</v>
      </c>
      <c r="F35" s="25" t="s">
        <v>192</v>
      </c>
      <c r="G35" s="1" t="str">
        <f>VLOOKUP(A35,Sheet2!A:B,2,0)</f>
        <v>Sanam</v>
      </c>
      <c r="H35" s="5">
        <f>VLOOKUP(A35,Sheet2!A:E,5,0)</f>
        <v>30600000</v>
      </c>
    </row>
    <row r="36" spans="1:8" x14ac:dyDescent="0.3">
      <c r="A36" s="1" t="s">
        <v>193</v>
      </c>
      <c r="B36" s="1" t="s">
        <v>194</v>
      </c>
      <c r="C36" s="1" t="s">
        <v>195</v>
      </c>
      <c r="D36" s="1" t="s">
        <v>196</v>
      </c>
      <c r="E36" s="1" t="str">
        <f>VLOOKUP(A36,Sheet2!A:C,3,0)</f>
        <v>1405/05/24</v>
      </c>
      <c r="F36" s="1" t="str">
        <f>VLOOKUP(A36,Sheet2!A:D,4,0)</f>
        <v>1405/08/24</v>
      </c>
      <c r="G36" s="1" t="str">
        <f>VLOOKUP(A36,Sheet2!A:B,2,0)</f>
        <v>Nastaran</v>
      </c>
      <c r="H36" s="5">
        <f>VLOOKUP(A36,Sheet2!A:E,5,0)</f>
        <v>6600000</v>
      </c>
    </row>
    <row r="37" spans="1:8" x14ac:dyDescent="0.3">
      <c r="A37" s="1" t="s">
        <v>199</v>
      </c>
      <c r="B37" s="1" t="s">
        <v>200</v>
      </c>
      <c r="C37" s="1" t="s">
        <v>201</v>
      </c>
      <c r="D37" s="1" t="s">
        <v>202</v>
      </c>
      <c r="E37" s="1" t="str">
        <f>VLOOKUP(A37,Sheet2!A:C,3,0)</f>
        <v>1405/05/26</v>
      </c>
      <c r="F37" s="1" t="str">
        <f>VLOOKUP(A37,Sheet2!A:D,4,0)</f>
        <v>1405/08/26</v>
      </c>
      <c r="G37" s="1" t="str">
        <f>VLOOKUP(A37,Sheet2!A:B,2,0)</f>
        <v>Nastaran</v>
      </c>
      <c r="H37" s="5">
        <f>VLOOKUP(A37,Sheet2!A:E,5,0)</f>
        <v>20000000</v>
      </c>
    </row>
    <row r="38" spans="1:8" x14ac:dyDescent="0.3">
      <c r="A38" s="1" t="s">
        <v>204</v>
      </c>
      <c r="B38" s="1" t="s">
        <v>205</v>
      </c>
      <c r="C38" s="1" t="s">
        <v>206</v>
      </c>
      <c r="D38" s="1" t="s">
        <v>207</v>
      </c>
      <c r="E38" s="1">
        <f>VLOOKUP(A38,Sheet2!A:C,3,0)</f>
        <v>0</v>
      </c>
      <c r="F38" s="1">
        <f>VLOOKUP(A38,Sheet2!A:D,4,0)</f>
        <v>0</v>
      </c>
      <c r="G38" s="1" t="str">
        <f>VLOOKUP(A38,Sheet2!A:B,2,0)</f>
        <v>Naser</v>
      </c>
      <c r="H38" s="5">
        <f>VLOOKUP(A38,Sheet2!A:E,5,0)</f>
        <v>150000000</v>
      </c>
    </row>
    <row r="39" spans="1:8" x14ac:dyDescent="0.3">
      <c r="A39" s="1" t="s">
        <v>208</v>
      </c>
      <c r="B39" s="1" t="s">
        <v>209</v>
      </c>
      <c r="C39" s="1" t="s">
        <v>210</v>
      </c>
      <c r="D39" s="1" t="s">
        <v>211</v>
      </c>
      <c r="E39" s="1" t="str">
        <f>VLOOKUP(A39,Sheet2!A:C,3,0)</f>
        <v>1405/05/05</v>
      </c>
      <c r="F39" s="1" t="str">
        <f>VLOOKUP(A39,Sheet2!A:D,4,0)</f>
        <v>1405/08/05</v>
      </c>
      <c r="G39" s="1" t="str">
        <f>VLOOKUP(A39,Sheet2!A:B,2,0)</f>
        <v>Naser</v>
      </c>
      <c r="H39" s="5">
        <f>VLOOKUP(A39,Sheet2!A:E,5,0)</f>
        <v>135000000</v>
      </c>
    </row>
    <row r="40" spans="1:8" x14ac:dyDescent="0.3">
      <c r="A40" s="1" t="s">
        <v>214</v>
      </c>
      <c r="B40" s="1" t="s">
        <v>215</v>
      </c>
      <c r="C40" s="1" t="s">
        <v>216</v>
      </c>
      <c r="D40" s="1" t="s">
        <v>217</v>
      </c>
      <c r="E40" s="1" t="str">
        <f>VLOOKUP(A40,Sheet2!A:C,3,0)</f>
        <v>1405/03/15</v>
      </c>
      <c r="F40" s="1" t="str">
        <f>VLOOKUP(A40,Sheet2!A:D,4,0)</f>
        <v>1405/06/15</v>
      </c>
      <c r="G40" s="1" t="str">
        <f>VLOOKUP(A40,Sheet2!A:B,2,0)</f>
        <v>Sanam</v>
      </c>
      <c r="H40" s="5">
        <f>VLOOKUP(A40,Sheet2!A:E,5,0)</f>
        <v>60000000</v>
      </c>
    </row>
    <row r="41" spans="1:8" x14ac:dyDescent="0.3">
      <c r="A41" s="1" t="s">
        <v>218</v>
      </c>
      <c r="B41" s="1" t="s">
        <v>219</v>
      </c>
      <c r="C41" s="1" t="s">
        <v>220</v>
      </c>
      <c r="D41" s="1" t="s">
        <v>221</v>
      </c>
      <c r="E41" s="1" t="str">
        <f>VLOOKUP(A41,Sheet2!A:C,3,0)</f>
        <v>1405/03/16</v>
      </c>
      <c r="F41" s="1" t="str">
        <f>VLOOKUP(A41,Sheet2!A:D,4,0)</f>
        <v>1405/05/16</v>
      </c>
      <c r="G41" s="1" t="str">
        <f>VLOOKUP(A41,Sheet2!A:B,2,0)</f>
        <v>Sara</v>
      </c>
      <c r="H41" s="5">
        <f>VLOOKUP(A41,Sheet2!A:E,5,0)</f>
        <v>45000000</v>
      </c>
    </row>
    <row r="42" spans="1:8" x14ac:dyDescent="0.3">
      <c r="A42" s="1" t="s">
        <v>222</v>
      </c>
      <c r="B42" s="1" t="s">
        <v>223</v>
      </c>
      <c r="C42" s="1" t="s">
        <v>224</v>
      </c>
      <c r="D42" s="1" t="s">
        <v>225</v>
      </c>
      <c r="E42" s="1" t="str">
        <f>VLOOKUP(A42,Sheet2!A:C,3,0)</f>
        <v>1405/05/19</v>
      </c>
      <c r="F42" s="1" t="str">
        <f>VLOOKUP(A42,Sheet2!A:D,4,0)</f>
        <v>1405/08/19</v>
      </c>
      <c r="G42" s="1" t="str">
        <f>VLOOKUP(A42,Sheet2!A:B,2,0)</f>
        <v>Naser</v>
      </c>
      <c r="H42" s="5">
        <f>VLOOKUP(A42,Sheet2!A:E,5,0)</f>
        <v>140000000</v>
      </c>
    </row>
    <row r="43" spans="1:8" x14ac:dyDescent="0.3">
      <c r="A43" s="1" t="s">
        <v>226</v>
      </c>
      <c r="B43" s="1" t="s">
        <v>226</v>
      </c>
      <c r="C43" s="1" t="s">
        <v>227</v>
      </c>
      <c r="D43" s="1" t="s">
        <v>228</v>
      </c>
      <c r="E43" s="1" t="str">
        <f>VLOOKUP(A43,Sheet2!A:C,3,0)</f>
        <v>1405/06/04</v>
      </c>
      <c r="F43" s="1" t="str">
        <f>VLOOKUP(A43,Sheet2!A:D,4,0)</f>
        <v>1405/09/04</v>
      </c>
      <c r="G43" s="1" t="str">
        <f>VLOOKUP(A43,Sheet2!A:B,2,0)</f>
        <v>Shahrzad</v>
      </c>
      <c r="H43" s="5">
        <f>VLOOKUP(A43,Sheet2!A:E,5,0)</f>
        <v>11000000</v>
      </c>
    </row>
    <row r="44" spans="1:8" x14ac:dyDescent="0.3">
      <c r="A44" s="1" t="s">
        <v>229</v>
      </c>
      <c r="B44" s="1" t="s">
        <v>230</v>
      </c>
      <c r="C44" s="1" t="s">
        <v>231</v>
      </c>
      <c r="D44" s="1" t="s">
        <v>232</v>
      </c>
      <c r="E44" s="1" t="str">
        <f>VLOOKUP(A44,Sheet2!A:C,3,0)</f>
        <v>1405/06/01</v>
      </c>
      <c r="F44" s="1" t="str">
        <f>VLOOKUP(A44,Sheet2!A:D,4,0)</f>
        <v>1405/09/01</v>
      </c>
      <c r="G44" s="1" t="str">
        <f>VLOOKUP(A44,Sheet2!A:B,2,0)</f>
        <v>Nastaran</v>
      </c>
      <c r="H44" s="5">
        <f>VLOOKUP(A44,Sheet2!A:E,5,0)</f>
        <v>18700000</v>
      </c>
    </row>
    <row r="45" spans="1:8" x14ac:dyDescent="0.3">
      <c r="A45" s="1" t="s">
        <v>233</v>
      </c>
      <c r="B45" s="1" t="s">
        <v>233</v>
      </c>
      <c r="C45" s="1" t="s">
        <v>234</v>
      </c>
      <c r="D45" s="1" t="s">
        <v>235</v>
      </c>
      <c r="E45" s="1" t="e">
        <f>VLOOKUP(A45,Sheet2!A:C,3,0)</f>
        <v>#N/A</v>
      </c>
      <c r="F45" s="1" t="e">
        <f>VLOOKUP(A45,Sheet2!A:D,4,0)</f>
        <v>#N/A</v>
      </c>
      <c r="G45" s="1" t="e">
        <f>VLOOKUP(A45,Sheet2!A:B,2,0)</f>
        <v>#N/A</v>
      </c>
      <c r="H45" s="5" t="e">
        <f>VLOOKUP(A45,Sheet2!A:E,5,0)</f>
        <v>#N/A</v>
      </c>
    </row>
    <row r="46" spans="1:8" x14ac:dyDescent="0.3">
      <c r="A46" s="1" t="s">
        <v>236</v>
      </c>
      <c r="B46" s="1" t="s">
        <v>236</v>
      </c>
      <c r="C46" s="1" t="s">
        <v>237</v>
      </c>
      <c r="D46" s="1" t="s">
        <v>238</v>
      </c>
      <c r="E46" s="1" t="str">
        <f>VLOOKUP(A46,Sheet2!A:C,3,0)</f>
        <v>1405/04/08</v>
      </c>
      <c r="F46" s="1" t="str">
        <f>VLOOKUP(A46,Sheet2!A:D,4,0)</f>
        <v>1405/07/08</v>
      </c>
      <c r="G46" s="1" t="str">
        <f>VLOOKUP(A46,Sheet2!A:B,2,0)</f>
        <v>Sara</v>
      </c>
      <c r="H46" s="5">
        <f>VLOOKUP(A46,Sheet2!A:E,5,0)</f>
        <v>27000000</v>
      </c>
    </row>
    <row r="47" spans="1:8" x14ac:dyDescent="0.3">
      <c r="A47" s="1" t="s">
        <v>239</v>
      </c>
      <c r="B47" s="1" t="s">
        <v>240</v>
      </c>
      <c r="C47" s="1" t="s">
        <v>241</v>
      </c>
      <c r="D47" s="1" t="s">
        <v>242</v>
      </c>
      <c r="E47" s="1" t="e">
        <f>VLOOKUP(A47,Sheet2!A:C,3,0)</f>
        <v>#N/A</v>
      </c>
      <c r="F47" s="1" t="e">
        <f>VLOOKUP(A47,Sheet2!A:D,4,0)</f>
        <v>#N/A</v>
      </c>
      <c r="G47" s="1" t="e">
        <f>VLOOKUP(A47,Sheet2!A:B,2,0)</f>
        <v>#N/A</v>
      </c>
      <c r="H47" s="5" t="e">
        <f>VLOOKUP(A47,Sheet2!A:E,5,0)</f>
        <v>#N/A</v>
      </c>
    </row>
    <row r="48" spans="1:8" x14ac:dyDescent="0.3">
      <c r="A48" s="1" t="s">
        <v>245</v>
      </c>
      <c r="B48" s="1" t="s">
        <v>246</v>
      </c>
      <c r="C48" s="1" t="s">
        <v>247</v>
      </c>
      <c r="D48" s="1" t="s">
        <v>248</v>
      </c>
      <c r="E48" s="1" t="str">
        <f>VLOOKUP(A48,Sheet2!A:C,3,0)</f>
        <v>1405/05/20</v>
      </c>
      <c r="F48" s="1" t="str">
        <f>VLOOKUP(A48,Sheet2!A:D,4,0)</f>
        <v>1405/08/20</v>
      </c>
      <c r="G48" s="1" t="str">
        <f>VLOOKUP(A48,Sheet2!A:B,2,0)</f>
        <v>Sara</v>
      </c>
      <c r="H48" s="5">
        <f>VLOOKUP(A48,Sheet2!A:E,5,0)</f>
        <v>50000000</v>
      </c>
    </row>
    <row r="49" spans="1:8" x14ac:dyDescent="0.3">
      <c r="A49" s="1" t="s">
        <v>249</v>
      </c>
      <c r="B49" s="1" t="s">
        <v>250</v>
      </c>
      <c r="C49" s="1" t="s">
        <v>251</v>
      </c>
      <c r="D49" s="1" t="s">
        <v>252</v>
      </c>
      <c r="E49" s="1" t="str">
        <f>VLOOKUP(A49,Sheet2!A:C,3,0)</f>
        <v>1405/04/16</v>
      </c>
      <c r="F49" s="1" t="str">
        <f>VLOOKUP(A49,Sheet2!A:D,4,0)</f>
        <v>1405/07/16</v>
      </c>
      <c r="G49" s="1" t="str">
        <f>VLOOKUP(A49,Sheet2!A:B,2,0)</f>
        <v>Sara</v>
      </c>
      <c r="H49" s="5">
        <f>VLOOKUP(A49,Sheet2!A:E,5,0)</f>
        <v>140000000</v>
      </c>
    </row>
    <row r="50" spans="1:8" x14ac:dyDescent="0.3">
      <c r="A50" s="1" t="s">
        <v>249</v>
      </c>
      <c r="B50" s="1" t="s">
        <v>253</v>
      </c>
      <c r="C50" s="1" t="s">
        <v>254</v>
      </c>
      <c r="D50" s="1" t="s">
        <v>255</v>
      </c>
      <c r="E50" s="1" t="str">
        <f>VLOOKUP(A50,Sheet2!A:C,3,0)</f>
        <v>1405/04/16</v>
      </c>
      <c r="F50" s="1" t="str">
        <f>VLOOKUP(A50,Sheet2!A:D,4,0)</f>
        <v>1405/07/16</v>
      </c>
      <c r="G50" s="1" t="str">
        <f>VLOOKUP(A50,Sheet2!A:B,2,0)</f>
        <v>Sara</v>
      </c>
      <c r="H50" s="5">
        <f>VLOOKUP(A50,Sheet2!A:E,5,0)</f>
        <v>140000000</v>
      </c>
    </row>
    <row r="51" spans="1:8" x14ac:dyDescent="0.3">
      <c r="A51" s="1" t="s">
        <v>256</v>
      </c>
      <c r="B51" s="1" t="s">
        <v>257</v>
      </c>
      <c r="C51" s="1" t="s">
        <v>258</v>
      </c>
      <c r="D51" s="1" t="s">
        <v>259</v>
      </c>
      <c r="E51" s="1" t="str">
        <f>VLOOKUP(A51,Sheet2!A:C,3,0)</f>
        <v>1405/03/18</v>
      </c>
      <c r="F51" s="1" t="str">
        <f>VLOOKUP(A51,Sheet2!A:D,4,0)</f>
        <v>1405/06/18</v>
      </c>
      <c r="G51" s="1" t="str">
        <f>VLOOKUP(A51,Sheet2!A:B,2,0)</f>
        <v>Sanam</v>
      </c>
      <c r="H51" s="5">
        <f>VLOOKUP(A51,Sheet2!A:E,5,0)</f>
        <v>100000000</v>
      </c>
    </row>
    <row r="52" spans="1:8" x14ac:dyDescent="0.3">
      <c r="A52" s="1" t="s">
        <v>262</v>
      </c>
      <c r="B52" s="1" t="s">
        <v>263</v>
      </c>
      <c r="C52" s="1" t="s">
        <v>264</v>
      </c>
      <c r="D52" s="1" t="s">
        <v>265</v>
      </c>
      <c r="E52" s="1" t="str">
        <f>VLOOKUP(A52,Sheet2!A:C,3,0)</f>
        <v>1405/06/16</v>
      </c>
      <c r="F52" s="1" t="str">
        <f>VLOOKUP(A52,Sheet2!A:D,4,0)</f>
        <v>1405/09/16</v>
      </c>
      <c r="G52" s="1" t="str">
        <f>VLOOKUP(A52,Sheet2!A:B,2,0)</f>
        <v>Naser</v>
      </c>
      <c r="H52" s="5">
        <f>VLOOKUP(A52,Sheet2!A:E,5,0)</f>
        <v>165000000</v>
      </c>
    </row>
    <row r="53" spans="1:8" x14ac:dyDescent="0.3">
      <c r="A53" s="1" t="s">
        <v>268</v>
      </c>
      <c r="B53" s="1" t="s">
        <v>269</v>
      </c>
      <c r="C53" s="1" t="s">
        <v>270</v>
      </c>
      <c r="D53" s="1" t="s">
        <v>271</v>
      </c>
      <c r="E53" s="1" t="e">
        <f>VLOOKUP(A53,Sheet2!A:C,3,0)</f>
        <v>#N/A</v>
      </c>
      <c r="F53" s="1" t="e">
        <f>VLOOKUP(A53,Sheet2!A:D,4,0)</f>
        <v>#N/A</v>
      </c>
      <c r="G53" s="1" t="e">
        <f>VLOOKUP(A53,Sheet2!A:B,2,0)</f>
        <v>#N/A</v>
      </c>
      <c r="H53" s="5" t="e">
        <f>VLOOKUP(A53,Sheet2!A:E,5,0)</f>
        <v>#N/A</v>
      </c>
    </row>
    <row r="54" spans="1:8" x14ac:dyDescent="0.3">
      <c r="A54" s="1" t="s">
        <v>272</v>
      </c>
      <c r="B54" s="1" t="s">
        <v>272</v>
      </c>
      <c r="C54" s="1" t="s">
        <v>273</v>
      </c>
      <c r="D54" s="1" t="s">
        <v>274</v>
      </c>
      <c r="E54" s="1" t="e">
        <f>VLOOKUP(A54,Sheet2!A:C,3,0)</f>
        <v>#N/A</v>
      </c>
      <c r="F54" s="1" t="e">
        <f>VLOOKUP(A54,Sheet2!A:D,4,0)</f>
        <v>#N/A</v>
      </c>
      <c r="G54" s="1" t="e">
        <f>VLOOKUP(A54,Sheet2!A:B,2,0)</f>
        <v>#N/A</v>
      </c>
      <c r="H54" s="5" t="e">
        <f>VLOOKUP(A54,Sheet2!A:E,5,0)</f>
        <v>#N/A</v>
      </c>
    </row>
    <row r="55" spans="1:8" x14ac:dyDescent="0.3">
      <c r="A55" s="1" t="s">
        <v>275</v>
      </c>
      <c r="B55" s="1" t="s">
        <v>276</v>
      </c>
      <c r="C55" s="1" t="s">
        <v>277</v>
      </c>
      <c r="D55" s="1" t="s">
        <v>278</v>
      </c>
      <c r="E55" s="1" t="str">
        <f>VLOOKUP(A55,Sheet2!A:C,3,0)</f>
        <v>1405/04/13</v>
      </c>
      <c r="F55" s="1" t="str">
        <f>VLOOKUP(A55,Sheet2!A:D,4,0)</f>
        <v>1405/07/13</v>
      </c>
      <c r="G55" s="1" t="str">
        <f>VLOOKUP(A55,Sheet2!A:B,2,0)</f>
        <v>Naser</v>
      </c>
      <c r="H55" s="5">
        <f>VLOOKUP(A55,Sheet2!A:E,5,0)</f>
        <v>99000000</v>
      </c>
    </row>
    <row r="56" spans="1:8" x14ac:dyDescent="0.3">
      <c r="A56" s="1" t="s">
        <v>279</v>
      </c>
      <c r="B56" s="1" t="s">
        <v>280</v>
      </c>
      <c r="C56" s="1" t="s">
        <v>281</v>
      </c>
      <c r="D56" s="1" t="s">
        <v>282</v>
      </c>
      <c r="E56" s="1" t="e">
        <f>VLOOKUP(A56,Sheet2!A:C,3,0)</f>
        <v>#N/A</v>
      </c>
      <c r="F56" s="1" t="e">
        <f>VLOOKUP(A56,Sheet2!A:D,4,0)</f>
        <v>#N/A</v>
      </c>
      <c r="G56" s="1" t="e">
        <f>VLOOKUP(A56,Sheet2!A:B,2,0)</f>
        <v>#N/A</v>
      </c>
      <c r="H56" s="5" t="e">
        <f>VLOOKUP(A56,Sheet2!A:E,5,0)</f>
        <v>#N/A</v>
      </c>
    </row>
    <row r="57" spans="1:8" x14ac:dyDescent="0.3">
      <c r="A57" s="1" t="s">
        <v>283</v>
      </c>
      <c r="B57" s="1" t="s">
        <v>284</v>
      </c>
      <c r="C57" s="1" t="s">
        <v>285</v>
      </c>
      <c r="D57" s="1" t="s">
        <v>286</v>
      </c>
      <c r="E57" s="1" t="str">
        <f>VLOOKUP(A57,Sheet2!A:C,3,0)</f>
        <v>1405/04/16</v>
      </c>
      <c r="F57" s="1" t="str">
        <f>VLOOKUP(A57,Sheet2!A:D,4,0)</f>
        <v>1405/07/16</v>
      </c>
      <c r="G57" s="1" t="str">
        <f>VLOOKUP(A57,Sheet2!A:B,2,0)</f>
        <v>Nastaran</v>
      </c>
      <c r="H57" s="5">
        <f>VLOOKUP(A57,Sheet2!A:E,5,0)</f>
        <v>350000000</v>
      </c>
    </row>
    <row r="58" spans="1:8" x14ac:dyDescent="0.3">
      <c r="A58" s="1" t="s">
        <v>289</v>
      </c>
      <c r="B58" s="1" t="s">
        <v>290</v>
      </c>
      <c r="C58" s="1" t="s">
        <v>291</v>
      </c>
      <c r="D58" s="1" t="s">
        <v>292</v>
      </c>
      <c r="E58" s="1" t="str">
        <f>VLOOKUP(A58,Sheet2!A:C,3,0)</f>
        <v>1405/04/10</v>
      </c>
      <c r="F58" s="1" t="str">
        <f>VLOOKUP(A58,Sheet2!A:D,4,0)</f>
        <v>1405/07/10</v>
      </c>
      <c r="G58" s="1" t="str">
        <f>VLOOKUP(A58,Sheet2!A:B,2,0)</f>
        <v>Sanam</v>
      </c>
      <c r="H58" s="5">
        <f>VLOOKUP(A58,Sheet2!A:E,5,0)</f>
        <v>70000000</v>
      </c>
    </row>
    <row r="59" spans="1:8" x14ac:dyDescent="0.3">
      <c r="A59" s="1" t="s">
        <v>295</v>
      </c>
      <c r="B59" s="1" t="s">
        <v>296</v>
      </c>
      <c r="C59" s="1" t="s">
        <v>297</v>
      </c>
      <c r="D59" s="1" t="s">
        <v>298</v>
      </c>
      <c r="E59" s="1" t="str">
        <f>VLOOKUP(A59,Sheet2!A:C,3,0)</f>
        <v>1405/06/11</v>
      </c>
      <c r="F59" s="1" t="str">
        <f>VLOOKUP(A59,Sheet2!A:D,4,0)</f>
        <v>1405/09/11</v>
      </c>
      <c r="G59" s="1" t="str">
        <f>VLOOKUP(A59,Sheet2!A:B,2,0)</f>
        <v>Mohammad</v>
      </c>
      <c r="H59" s="5">
        <f>VLOOKUP(A59,Sheet2!A:E,5,0)</f>
        <v>36300000</v>
      </c>
    </row>
    <row r="60" spans="1:8" x14ac:dyDescent="0.3">
      <c r="A60" s="1" t="s">
        <v>299</v>
      </c>
      <c r="B60" s="1" t="s">
        <v>299</v>
      </c>
      <c r="C60" s="1" t="s">
        <v>300</v>
      </c>
      <c r="D60" s="1" t="s">
        <v>301</v>
      </c>
      <c r="E60" s="1" t="str">
        <f>VLOOKUP(A60,Sheet2!A:C,3,0)</f>
        <v>1405/05/31</v>
      </c>
      <c r="F60" s="1" t="str">
        <f>VLOOKUP(A60,Sheet2!A:D,4,0)</f>
        <v>1405/08/30</v>
      </c>
      <c r="G60" s="1" t="str">
        <f>VLOOKUP(A60,Sheet2!A:B,2,0)</f>
        <v>Mohammad</v>
      </c>
      <c r="H60" s="5">
        <f>VLOOKUP(A60,Sheet2!A:E,5,0)</f>
        <v>33000000</v>
      </c>
    </row>
    <row r="61" spans="1:8" x14ac:dyDescent="0.3">
      <c r="A61" s="1" t="s">
        <v>302</v>
      </c>
      <c r="B61" s="1" t="s">
        <v>302</v>
      </c>
      <c r="C61" s="1" t="s">
        <v>303</v>
      </c>
      <c r="D61" s="1" t="s">
        <v>304</v>
      </c>
      <c r="E61" s="1" t="str">
        <f>VLOOKUP(A61,Sheet2!A:C,3,0)</f>
        <v>1405/05/12</v>
      </c>
      <c r="F61" s="1" t="str">
        <f>VLOOKUP(A61,Sheet2!A:D,4,0)</f>
        <v>1405/08/12</v>
      </c>
      <c r="G61" s="1" t="str">
        <f>VLOOKUP(A61,Sheet2!A:B,2,0)</f>
        <v>Shahrzad</v>
      </c>
      <c r="H61" s="5">
        <f>VLOOKUP(A61,Sheet2!A:E,5,0)</f>
        <v>76000000</v>
      </c>
    </row>
    <row r="62" spans="1:8" x14ac:dyDescent="0.3">
      <c r="A62" s="1" t="s">
        <v>305</v>
      </c>
      <c r="B62" s="1" t="s">
        <v>306</v>
      </c>
      <c r="C62" s="1" t="s">
        <v>307</v>
      </c>
      <c r="D62" s="1" t="s">
        <v>308</v>
      </c>
      <c r="E62" s="1" t="str">
        <f>VLOOKUP(A62,Sheet2!A:C,3,0)</f>
        <v>1405/04/29</v>
      </c>
      <c r="F62" s="1" t="str">
        <f>VLOOKUP(A62,Sheet2!A:D,4,0)</f>
        <v>1405/07/29</v>
      </c>
      <c r="G62" s="1" t="str">
        <f>VLOOKUP(A62,Sheet2!A:B,2,0)</f>
        <v>Sanam</v>
      </c>
      <c r="H62" s="5">
        <f>VLOOKUP(A62,Sheet2!A:E,5,0)</f>
        <v>240000000</v>
      </c>
    </row>
    <row r="63" spans="1:8" x14ac:dyDescent="0.3">
      <c r="A63" s="1" t="s">
        <v>305</v>
      </c>
      <c r="B63" s="1" t="s">
        <v>311</v>
      </c>
      <c r="C63" s="1" t="s">
        <v>312</v>
      </c>
      <c r="D63" s="1" t="s">
        <v>313</v>
      </c>
      <c r="E63" s="1" t="str">
        <f>VLOOKUP(A63,Sheet2!A:C,3,0)</f>
        <v>1405/04/29</v>
      </c>
      <c r="F63" s="1" t="str">
        <f>VLOOKUP(A63,Sheet2!A:D,4,0)</f>
        <v>1405/07/29</v>
      </c>
      <c r="G63" s="1" t="str">
        <f>VLOOKUP(A63,Sheet2!A:B,2,0)</f>
        <v>Sanam</v>
      </c>
      <c r="H63" s="5">
        <f>VLOOKUP(A63,Sheet2!A:E,5,0)</f>
        <v>240000000</v>
      </c>
    </row>
    <row r="64" spans="1:8" x14ac:dyDescent="0.3">
      <c r="A64" s="1" t="s">
        <v>305</v>
      </c>
      <c r="B64" s="1" t="s">
        <v>314</v>
      </c>
      <c r="C64" s="1" t="s">
        <v>315</v>
      </c>
      <c r="D64" s="1" t="s">
        <v>316</v>
      </c>
      <c r="E64" s="1" t="str">
        <f>VLOOKUP(A64,Sheet2!A:C,3,0)</f>
        <v>1405/04/29</v>
      </c>
      <c r="F64" s="1" t="str">
        <f>VLOOKUP(A64,Sheet2!A:D,4,0)</f>
        <v>1405/07/29</v>
      </c>
      <c r="G64" s="1" t="str">
        <f>VLOOKUP(A64,Sheet2!A:B,2,0)</f>
        <v>Sanam</v>
      </c>
      <c r="H64" s="5">
        <f>VLOOKUP(A64,Sheet2!A:E,5,0)</f>
        <v>240000000</v>
      </c>
    </row>
    <row r="65" spans="1:8" x14ac:dyDescent="0.3">
      <c r="A65" s="1" t="s">
        <v>305</v>
      </c>
      <c r="B65" s="1" t="s">
        <v>317</v>
      </c>
      <c r="C65" s="1" t="s">
        <v>318</v>
      </c>
      <c r="D65" s="1" t="s">
        <v>319</v>
      </c>
      <c r="E65" s="1" t="str">
        <f>VLOOKUP(A65,Sheet2!A:C,3,0)</f>
        <v>1405/04/29</v>
      </c>
      <c r="F65" s="1" t="str">
        <f>VLOOKUP(A65,Sheet2!A:D,4,0)</f>
        <v>1405/07/29</v>
      </c>
      <c r="G65" s="1" t="str">
        <f>VLOOKUP(A65,Sheet2!A:B,2,0)</f>
        <v>Sanam</v>
      </c>
      <c r="H65" s="5">
        <f>VLOOKUP(A65,Sheet2!A:E,5,0)</f>
        <v>240000000</v>
      </c>
    </row>
    <row r="66" spans="1:8" x14ac:dyDescent="0.3">
      <c r="A66" s="1" t="s">
        <v>305</v>
      </c>
      <c r="B66" s="1" t="s">
        <v>320</v>
      </c>
      <c r="C66" s="1" t="s">
        <v>321</v>
      </c>
      <c r="D66" s="1" t="s">
        <v>322</v>
      </c>
      <c r="E66" s="1" t="str">
        <f>VLOOKUP(A66,Sheet2!A:C,3,0)</f>
        <v>1405/04/29</v>
      </c>
      <c r="F66" s="1" t="str">
        <f>VLOOKUP(A66,Sheet2!A:D,4,0)</f>
        <v>1405/07/29</v>
      </c>
      <c r="G66" s="1" t="str">
        <f>VLOOKUP(A66,Sheet2!A:B,2,0)</f>
        <v>Sanam</v>
      </c>
      <c r="H66" s="5">
        <f>VLOOKUP(A66,Sheet2!A:E,5,0)</f>
        <v>240000000</v>
      </c>
    </row>
    <row r="67" spans="1:8" x14ac:dyDescent="0.3">
      <c r="A67" s="1" t="s">
        <v>323</v>
      </c>
      <c r="B67" s="1" t="s">
        <v>324</v>
      </c>
      <c r="C67" s="1" t="s">
        <v>325</v>
      </c>
      <c r="D67" s="1" t="s">
        <v>326</v>
      </c>
      <c r="E67" s="1" t="str">
        <f>VLOOKUP(A67,Sheet2!A:C,3,0)</f>
        <v>1405/05/19</v>
      </c>
      <c r="F67" s="1" t="str">
        <f>VLOOKUP(A67,Sheet2!A:D,4,0)</f>
        <v>1405/08/19</v>
      </c>
      <c r="G67" s="1" t="str">
        <f>VLOOKUP(A67,Sheet2!A:B,2,0)</f>
        <v>Nastaran</v>
      </c>
      <c r="H67" s="5">
        <f>VLOOKUP(A67,Sheet2!A:E,5,0)</f>
        <v>8800000</v>
      </c>
    </row>
    <row r="68" spans="1:8" x14ac:dyDescent="0.3">
      <c r="A68" s="1" t="s">
        <v>329</v>
      </c>
      <c r="B68" s="1" t="s">
        <v>329</v>
      </c>
      <c r="C68" s="1" t="s">
        <v>330</v>
      </c>
      <c r="D68" s="1" t="s">
        <v>331</v>
      </c>
      <c r="E68" s="1" t="str">
        <f>VLOOKUP(A68,Sheet2!A:C,3,0)</f>
        <v>1405/03/09</v>
      </c>
      <c r="F68" s="1" t="str">
        <f>VLOOKUP(A68,Sheet2!A:D,4,0)</f>
        <v>1405/06/09</v>
      </c>
      <c r="G68" s="1" t="str">
        <f>VLOOKUP(A68,Sheet2!A:B,2,0)</f>
        <v>Nastaran</v>
      </c>
      <c r="H68" s="5">
        <f>VLOOKUP(A68,Sheet2!A:E,5,0)</f>
        <v>36000000</v>
      </c>
    </row>
    <row r="69" spans="1:8" x14ac:dyDescent="0.3">
      <c r="A69" s="1" t="s">
        <v>332</v>
      </c>
      <c r="B69" s="1" t="s">
        <v>333</v>
      </c>
      <c r="C69" s="1" t="s">
        <v>334</v>
      </c>
      <c r="D69" s="1" t="s">
        <v>335</v>
      </c>
      <c r="E69" s="1" t="str">
        <f>VLOOKUP(A69,Sheet2!A:C,3,0)</f>
        <v>1405/04/24</v>
      </c>
      <c r="F69" s="1" t="str">
        <f>VLOOKUP(A69,Sheet2!A:D,4,0)</f>
        <v>1405/07/24</v>
      </c>
      <c r="G69" s="1" t="str">
        <f>VLOOKUP(A69,Sheet2!A:B,2,0)</f>
        <v>Mohammad</v>
      </c>
      <c r="H69" s="5">
        <f>VLOOKUP(A69,Sheet2!A:E,5,0)</f>
        <v>60000000</v>
      </c>
    </row>
    <row r="70" spans="1:8" x14ac:dyDescent="0.3">
      <c r="A70" s="1" t="s">
        <v>336</v>
      </c>
      <c r="B70" s="1" t="s">
        <v>337</v>
      </c>
      <c r="C70" s="1" t="s">
        <v>338</v>
      </c>
      <c r="D70" s="1" t="s">
        <v>339</v>
      </c>
      <c r="E70" s="1" t="str">
        <f>VLOOKUP(A70,Sheet2!A:C,3,0)</f>
        <v>1405/04/10</v>
      </c>
      <c r="F70" s="1" t="str">
        <f>VLOOKUP(A70,Sheet2!A:D,4,0)</f>
        <v>1405/07/10</v>
      </c>
      <c r="G70" s="1" t="str">
        <f>VLOOKUP(A70,Sheet2!A:B,2,0)</f>
        <v>Sara</v>
      </c>
      <c r="H70" s="5">
        <f>VLOOKUP(A70,Sheet2!A:E,5,0)</f>
        <v>60000000</v>
      </c>
    </row>
    <row r="71" spans="1:8" x14ac:dyDescent="0.3">
      <c r="A71" s="1" t="s">
        <v>336</v>
      </c>
      <c r="B71" s="1" t="s">
        <v>336</v>
      </c>
      <c r="C71" s="1" t="s">
        <v>340</v>
      </c>
      <c r="D71" s="1" t="s">
        <v>341</v>
      </c>
      <c r="E71" s="1" t="str">
        <f>VLOOKUP(A71,Sheet2!A:C,3,0)</f>
        <v>1405/04/10</v>
      </c>
      <c r="F71" s="1" t="str">
        <f>VLOOKUP(A71,Sheet2!A:D,4,0)</f>
        <v>1405/07/10</v>
      </c>
      <c r="G71" s="1" t="str">
        <f>VLOOKUP(A71,Sheet2!A:B,2,0)</f>
        <v>Sara</v>
      </c>
      <c r="H71" s="5">
        <f>VLOOKUP(A71,Sheet2!A:E,5,0)</f>
        <v>60000000</v>
      </c>
    </row>
    <row r="72" spans="1:8" x14ac:dyDescent="0.3">
      <c r="A72" s="1" t="s">
        <v>342</v>
      </c>
      <c r="B72" s="1" t="s">
        <v>342</v>
      </c>
      <c r="C72" s="1" t="s">
        <v>343</v>
      </c>
      <c r="D72" s="1" t="s">
        <v>344</v>
      </c>
      <c r="E72" s="1" t="str">
        <f>VLOOKUP(A72,Sheet2!A:C,3,0)</f>
        <v>1405/06/04</v>
      </c>
      <c r="F72" s="1" t="str">
        <f>VLOOKUP(A72,Sheet2!A:D,4,0)</f>
        <v>1405/09/04</v>
      </c>
      <c r="G72" s="1" t="str">
        <f>VLOOKUP(A72,Sheet2!A:B,2,0)</f>
        <v>Naser</v>
      </c>
      <c r="H72" s="5">
        <f>VLOOKUP(A72,Sheet2!A:E,5,0)</f>
        <v>427000000</v>
      </c>
    </row>
    <row r="73" spans="1:8" x14ac:dyDescent="0.3">
      <c r="A73" s="1" t="s">
        <v>342</v>
      </c>
      <c r="B73" s="1" t="s">
        <v>345</v>
      </c>
      <c r="C73" s="1" t="s">
        <v>346</v>
      </c>
      <c r="D73" s="1" t="s">
        <v>347</v>
      </c>
      <c r="E73" s="1" t="str">
        <f>VLOOKUP(A73,Sheet2!A:C,3,0)</f>
        <v>1405/06/04</v>
      </c>
      <c r="F73" s="1" t="str">
        <f>VLOOKUP(A73,Sheet2!A:D,4,0)</f>
        <v>1405/09/04</v>
      </c>
      <c r="G73" s="1" t="str">
        <f>VLOOKUP(A73,Sheet2!A:B,2,0)</f>
        <v>Naser</v>
      </c>
      <c r="H73" s="5">
        <f>VLOOKUP(A73,Sheet2!A:E,5,0)</f>
        <v>427000000</v>
      </c>
    </row>
    <row r="74" spans="1:8" x14ac:dyDescent="0.3">
      <c r="A74" s="1" t="s">
        <v>342</v>
      </c>
      <c r="B74" s="1" t="s">
        <v>348</v>
      </c>
      <c r="C74" s="1" t="s">
        <v>349</v>
      </c>
      <c r="D74" s="1" t="s">
        <v>350</v>
      </c>
      <c r="E74" s="1" t="str">
        <f>VLOOKUP(A74,Sheet2!A:C,3,0)</f>
        <v>1405/06/04</v>
      </c>
      <c r="F74" s="1" t="str">
        <f>VLOOKUP(A74,Sheet2!A:D,4,0)</f>
        <v>1405/09/04</v>
      </c>
      <c r="G74" s="1" t="str">
        <f>VLOOKUP(A74,Sheet2!A:B,2,0)</f>
        <v>Naser</v>
      </c>
      <c r="H74" s="5">
        <f>VLOOKUP(A74,Sheet2!A:E,5,0)</f>
        <v>427000000</v>
      </c>
    </row>
    <row r="75" spans="1:8" x14ac:dyDescent="0.3">
      <c r="A75" s="1" t="s">
        <v>351</v>
      </c>
      <c r="B75" s="1" t="s">
        <v>352</v>
      </c>
      <c r="C75" s="1" t="s">
        <v>353</v>
      </c>
      <c r="D75" s="1" t="s">
        <v>354</v>
      </c>
      <c r="E75" s="1" t="str">
        <f>VLOOKUP(A75,Sheet2!A:C,3,0)</f>
        <v>1405/04/02</v>
      </c>
      <c r="F75" s="1" t="str">
        <f>VLOOKUP(A75,Sheet2!A:D,4,0)</f>
        <v>1405/07/02</v>
      </c>
      <c r="G75" s="1" t="str">
        <f>VLOOKUP(A75,Sheet2!A:B,2,0)</f>
        <v>Nastaran</v>
      </c>
      <c r="H75" s="5">
        <f>VLOOKUP(A75,Sheet2!A:E,5,0)</f>
        <v>46200000</v>
      </c>
    </row>
    <row r="76" spans="1:8" x14ac:dyDescent="0.3">
      <c r="A76" s="1" t="s">
        <v>351</v>
      </c>
      <c r="B76" s="1" t="s">
        <v>351</v>
      </c>
      <c r="C76" s="1" t="s">
        <v>355</v>
      </c>
      <c r="D76" s="1" t="s">
        <v>356</v>
      </c>
      <c r="E76" s="1" t="str">
        <f>VLOOKUP(A76,Sheet2!A:C,3,0)</f>
        <v>1405/04/02</v>
      </c>
      <c r="F76" s="1" t="str">
        <f>VLOOKUP(A76,Sheet2!A:D,4,0)</f>
        <v>1405/07/02</v>
      </c>
      <c r="G76" s="1" t="str">
        <f>VLOOKUP(A76,Sheet2!A:B,2,0)</f>
        <v>Nastaran</v>
      </c>
      <c r="H76" s="5">
        <f>VLOOKUP(A76,Sheet2!A:E,5,0)</f>
        <v>46200000</v>
      </c>
    </row>
    <row r="77" spans="1:8" x14ac:dyDescent="0.3">
      <c r="A77" s="1" t="s">
        <v>357</v>
      </c>
      <c r="B77" s="1" t="s">
        <v>358</v>
      </c>
      <c r="C77" s="1" t="s">
        <v>359</v>
      </c>
      <c r="D77" s="1" t="s">
        <v>360</v>
      </c>
      <c r="E77" s="1" t="str">
        <f>VLOOKUP(A77,Sheet2!A:C,3,0)</f>
        <v>1405/05/25</v>
      </c>
      <c r="F77" s="1" t="str">
        <f>VLOOKUP(A77,Sheet2!A:D,4,0)</f>
        <v>1405/08/25</v>
      </c>
      <c r="G77" s="1" t="str">
        <f>VLOOKUP(A77,Sheet2!A:B,2,0)</f>
        <v>shahrzad</v>
      </c>
      <c r="H77" s="5">
        <f>VLOOKUP(A77,Sheet2!A:E,5,0)</f>
        <v>46200000</v>
      </c>
    </row>
    <row r="78" spans="1:8" x14ac:dyDescent="0.3">
      <c r="A78" s="1" t="s">
        <v>361</v>
      </c>
      <c r="B78" s="1" t="s">
        <v>362</v>
      </c>
      <c r="C78" s="1" t="s">
        <v>363</v>
      </c>
      <c r="D78" s="1" t="s">
        <v>364</v>
      </c>
      <c r="E78" s="1" t="str">
        <f>VLOOKUP(A78,Sheet2!A:C,3,0)</f>
        <v>1405/04/28</v>
      </c>
      <c r="F78" s="1" t="str">
        <f>VLOOKUP(A78,Sheet2!A:D,4,0)</f>
        <v>1405/07/28</v>
      </c>
      <c r="G78" s="1" t="str">
        <f>VLOOKUP(A78,Sheet2!A:B,2,0)</f>
        <v>Sara</v>
      </c>
      <c r="H78" s="5">
        <f>VLOOKUP(A78,Sheet2!A:E,5,0)</f>
        <v>75000000</v>
      </c>
    </row>
    <row r="79" spans="1:8" x14ac:dyDescent="0.3">
      <c r="A79" s="1" t="s">
        <v>361</v>
      </c>
      <c r="B79" s="1" t="s">
        <v>361</v>
      </c>
      <c r="C79" s="1" t="s">
        <v>365</v>
      </c>
      <c r="D79" s="1" t="s">
        <v>366</v>
      </c>
      <c r="E79" s="1" t="str">
        <f>VLOOKUP(A79,Sheet2!A:C,3,0)</f>
        <v>1405/04/28</v>
      </c>
      <c r="F79" s="1" t="str">
        <f>VLOOKUP(A79,Sheet2!A:D,4,0)</f>
        <v>1405/07/28</v>
      </c>
      <c r="G79" s="1" t="str">
        <f>VLOOKUP(A79,Sheet2!A:B,2,0)</f>
        <v>Sara</v>
      </c>
      <c r="H79" s="5">
        <f>VLOOKUP(A79,Sheet2!A:E,5,0)</f>
        <v>75000000</v>
      </c>
    </row>
    <row r="80" spans="1:8" x14ac:dyDescent="0.3">
      <c r="A80" s="1" t="s">
        <v>367</v>
      </c>
      <c r="B80" s="1" t="s">
        <v>368</v>
      </c>
      <c r="C80" s="1" t="s">
        <v>369</v>
      </c>
      <c r="D80" s="1" t="s">
        <v>370</v>
      </c>
      <c r="E80" s="1" t="str">
        <f>VLOOKUP(A80,Sheet2!A:C,3,0)</f>
        <v>1405/05/29</v>
      </c>
      <c r="F80" s="1" t="str">
        <f>VLOOKUP(A80,Sheet2!A:D,4,0)</f>
        <v>1405/08/29</v>
      </c>
      <c r="G80" s="1" t="str">
        <f>VLOOKUP(A80,Sheet2!A:B,2,0)</f>
        <v>shahrzad</v>
      </c>
      <c r="H80" s="5">
        <f>VLOOKUP(A80,Sheet2!A:E,5,0)</f>
        <v>41580000</v>
      </c>
    </row>
    <row r="81" spans="1:8" x14ac:dyDescent="0.3">
      <c r="A81" s="1" t="s">
        <v>371</v>
      </c>
      <c r="B81" s="1" t="s">
        <v>372</v>
      </c>
      <c r="C81" s="1" t="s">
        <v>373</v>
      </c>
      <c r="D81" s="1" t="s">
        <v>374</v>
      </c>
      <c r="E81" s="1" t="str">
        <f>VLOOKUP(A81,Sheet2!A:C,3,0)</f>
        <v>1405/06/02</v>
      </c>
      <c r="F81" s="1" t="str">
        <f>VLOOKUP(A81,Sheet2!A:D,4,0)</f>
        <v>1405/09/02</v>
      </c>
      <c r="G81" s="1" t="str">
        <f>VLOOKUP(A81,Sheet2!A:B,2,0)</f>
        <v>shahrzad</v>
      </c>
      <c r="H81" s="5">
        <f>VLOOKUP(A81,Sheet2!A:E,5,0)</f>
        <v>6600000</v>
      </c>
    </row>
    <row r="82" spans="1:8" x14ac:dyDescent="0.3">
      <c r="A82" s="1" t="s">
        <v>375</v>
      </c>
      <c r="B82" s="1" t="s">
        <v>376</v>
      </c>
      <c r="C82" s="1" t="s">
        <v>377</v>
      </c>
      <c r="D82" s="1" t="s">
        <v>378</v>
      </c>
      <c r="E82" s="1" t="str">
        <f>VLOOKUP(A82,Sheet2!A:C,3,0)</f>
        <v>1405/03/04</v>
      </c>
      <c r="F82" s="1" t="str">
        <f>VLOOKUP(A82,Sheet2!A:D,4,0)</f>
        <v>1405/06/04</v>
      </c>
      <c r="G82" s="1" t="str">
        <f>VLOOKUP(A82,Sheet2!A:B,2,0)</f>
        <v>shahrzad</v>
      </c>
      <c r="H82" s="5">
        <f>VLOOKUP(A82,Sheet2!A:E,5,0)</f>
        <v>49500000</v>
      </c>
    </row>
    <row r="83" spans="1:8" x14ac:dyDescent="0.3">
      <c r="A83" s="1" t="s">
        <v>379</v>
      </c>
      <c r="B83" s="1" t="s">
        <v>380</v>
      </c>
      <c r="C83" s="1" t="s">
        <v>381</v>
      </c>
      <c r="D83" s="1" t="s">
        <v>382</v>
      </c>
      <c r="E83" s="1" t="str">
        <f>VLOOKUP(A83,Sheet2!A:C,3,0)</f>
        <v>1405/03/25</v>
      </c>
      <c r="F83" s="1" t="str">
        <f>VLOOKUP(A83,Sheet2!A:D,4,0)</f>
        <v>1405/06/25</v>
      </c>
      <c r="G83" s="1" t="str">
        <f>VLOOKUP(A83,Sheet2!A:B,2,0)</f>
        <v>Nastaran</v>
      </c>
      <c r="H83" s="5">
        <f>VLOOKUP(A83,Sheet2!A:E,5,0)</f>
        <v>33000000</v>
      </c>
    </row>
    <row r="84" spans="1:8" x14ac:dyDescent="0.3">
      <c r="A84" s="1" t="s">
        <v>383</v>
      </c>
      <c r="B84" s="1" t="s">
        <v>384</v>
      </c>
      <c r="C84" s="1" t="s">
        <v>385</v>
      </c>
      <c r="D84" s="1" t="s">
        <v>386</v>
      </c>
      <c r="E84" s="1" t="str">
        <f>VLOOKUP(A84,Sheet2!A:C,3,0)</f>
        <v>1405/06/16</v>
      </c>
      <c r="F84" s="1" t="str">
        <f>VLOOKUP(A84,Sheet2!A:D,4,0)</f>
        <v>1405/09/16</v>
      </c>
      <c r="G84" s="1" t="str">
        <f>VLOOKUP(A84,Sheet2!A:B,2,0)</f>
        <v>Nastaran</v>
      </c>
      <c r="H84" s="5">
        <f>VLOOKUP(A84,Sheet2!A:E,5,0)</f>
        <v>23100000</v>
      </c>
    </row>
    <row r="85" spans="1:8" x14ac:dyDescent="0.3">
      <c r="A85" s="1" t="s">
        <v>383</v>
      </c>
      <c r="B85" s="1" t="s">
        <v>387</v>
      </c>
      <c r="C85" s="1" t="s">
        <v>388</v>
      </c>
      <c r="D85" s="1" t="s">
        <v>389</v>
      </c>
      <c r="E85" s="1" t="str">
        <f>VLOOKUP(A85,Sheet2!A:C,3,0)</f>
        <v>1405/06/16</v>
      </c>
      <c r="F85" s="1" t="str">
        <f>VLOOKUP(A85,Sheet2!A:D,4,0)</f>
        <v>1405/09/16</v>
      </c>
      <c r="G85" s="1" t="str">
        <f>VLOOKUP(A85,Sheet2!A:B,2,0)</f>
        <v>Nastaran</v>
      </c>
      <c r="H85" s="5">
        <f>VLOOKUP(A85,Sheet2!A:E,5,0)</f>
        <v>23100000</v>
      </c>
    </row>
    <row r="86" spans="1:8" x14ac:dyDescent="0.3">
      <c r="A86" s="1" t="s">
        <v>390</v>
      </c>
      <c r="B86" s="1" t="s">
        <v>391</v>
      </c>
      <c r="C86" s="1" t="s">
        <v>392</v>
      </c>
      <c r="D86" s="1" t="s">
        <v>393</v>
      </c>
      <c r="E86" s="1" t="str">
        <f>VLOOKUP(A86,Sheet2!A:C,3,0)</f>
        <v>1405/06/16</v>
      </c>
      <c r="F86" s="1" t="str">
        <f>VLOOKUP(A86,Sheet2!A:D,4,0)</f>
        <v>1405/09/16</v>
      </c>
      <c r="G86" s="1" t="str">
        <f>VLOOKUP(A86,Sheet2!A:B,2,0)</f>
        <v>shahrzad</v>
      </c>
      <c r="H86" s="5">
        <f>VLOOKUP(A86,Sheet2!A:E,5,0)</f>
        <v>30000000</v>
      </c>
    </row>
    <row r="87" spans="1:8" x14ac:dyDescent="0.3">
      <c r="A87" s="1" t="s">
        <v>394</v>
      </c>
      <c r="B87" s="1" t="s">
        <v>395</v>
      </c>
      <c r="C87" s="1" t="s">
        <v>396</v>
      </c>
      <c r="D87" s="1" t="s">
        <v>397</v>
      </c>
      <c r="E87" s="1" t="e">
        <f>VLOOKUP(A87,Sheet2!A:C,3,0)</f>
        <v>#N/A</v>
      </c>
      <c r="F87" s="1" t="e">
        <f>VLOOKUP(A87,Sheet2!A:D,4,0)</f>
        <v>#N/A</v>
      </c>
      <c r="G87" s="1" t="e">
        <f>VLOOKUP(A87,Sheet2!A:B,2,0)</f>
        <v>#N/A</v>
      </c>
      <c r="H87" s="5" t="e">
        <f>VLOOKUP(A87,Sheet2!A:E,5,0)</f>
        <v>#N/A</v>
      </c>
    </row>
    <row r="88" spans="1:8" x14ac:dyDescent="0.3">
      <c r="A88" s="1" t="s">
        <v>398</v>
      </c>
      <c r="B88" s="1" t="s">
        <v>399</v>
      </c>
      <c r="C88" s="1" t="s">
        <v>400</v>
      </c>
      <c r="D88" s="1" t="s">
        <v>401</v>
      </c>
      <c r="E88" s="1" t="str">
        <f>VLOOKUP(A88,Sheet2!A:C,3,0)</f>
        <v>1405/03/17</v>
      </c>
      <c r="F88" s="1" t="str">
        <f>VLOOKUP(A88,Sheet2!A:D,4,0)</f>
        <v>1405/06/17</v>
      </c>
      <c r="G88" s="1" t="str">
        <f>VLOOKUP(A88,Sheet2!A:B,2,0)</f>
        <v>Nastaran</v>
      </c>
      <c r="H88" s="5">
        <f>VLOOKUP(A88,Sheet2!A:E,5,0)</f>
        <v>170000000</v>
      </c>
    </row>
    <row r="89" spans="1:8" x14ac:dyDescent="0.3">
      <c r="A89" s="1" t="s">
        <v>398</v>
      </c>
      <c r="B89" s="1" t="s">
        <v>402</v>
      </c>
      <c r="C89" s="1" t="s">
        <v>403</v>
      </c>
      <c r="D89" s="1" t="s">
        <v>404</v>
      </c>
      <c r="E89" s="1" t="str">
        <f>VLOOKUP(A89,Sheet2!A:C,3,0)</f>
        <v>1405/03/17</v>
      </c>
      <c r="F89" s="1" t="str">
        <f>VLOOKUP(A89,Sheet2!A:D,4,0)</f>
        <v>1405/06/17</v>
      </c>
      <c r="G89" s="1" t="str">
        <f>VLOOKUP(A89,Sheet2!A:B,2,0)</f>
        <v>Nastaran</v>
      </c>
      <c r="H89" s="5">
        <f>VLOOKUP(A89,Sheet2!A:E,5,0)</f>
        <v>170000000</v>
      </c>
    </row>
    <row r="90" spans="1:8" x14ac:dyDescent="0.3">
      <c r="A90" s="1" t="s">
        <v>405</v>
      </c>
      <c r="B90" s="1" t="s">
        <v>406</v>
      </c>
      <c r="C90" s="1" t="s">
        <v>407</v>
      </c>
      <c r="D90" s="1" t="s">
        <v>408</v>
      </c>
      <c r="E90" s="1" t="e">
        <f>VLOOKUP(A90,Sheet2!A:C,3,0)</f>
        <v>#N/A</v>
      </c>
      <c r="F90" s="1" t="e">
        <f>VLOOKUP(A90,Sheet2!A:D,4,0)</f>
        <v>#N/A</v>
      </c>
      <c r="G90" s="1" t="e">
        <f>VLOOKUP(A90,Sheet2!A:B,2,0)</f>
        <v>#N/A</v>
      </c>
      <c r="H90" s="5" t="e">
        <f>VLOOKUP(A90,Sheet2!A:E,5,0)</f>
        <v>#N/A</v>
      </c>
    </row>
    <row r="91" spans="1:8" x14ac:dyDescent="0.3">
      <c r="A91" s="1" t="s">
        <v>409</v>
      </c>
      <c r="B91" s="1" t="s">
        <v>410</v>
      </c>
      <c r="C91" s="1" t="s">
        <v>411</v>
      </c>
      <c r="D91" s="1" t="s">
        <v>412</v>
      </c>
      <c r="E91" s="1" t="e">
        <f>VLOOKUP(A91,Sheet2!A:C,3,0)</f>
        <v>#N/A</v>
      </c>
      <c r="F91" s="1" t="e">
        <f>VLOOKUP(A91,Sheet2!A:D,4,0)</f>
        <v>#N/A</v>
      </c>
      <c r="G91" s="1" t="e">
        <f>VLOOKUP(A91,Sheet2!A:B,2,0)</f>
        <v>#N/A</v>
      </c>
      <c r="H91" s="5" t="e">
        <f>VLOOKUP(A91,Sheet2!A:E,5,0)</f>
        <v>#N/A</v>
      </c>
    </row>
    <row r="92" spans="1:8" x14ac:dyDescent="0.3">
      <c r="A92" s="1" t="s">
        <v>415</v>
      </c>
      <c r="B92" s="1" t="s">
        <v>415</v>
      </c>
      <c r="C92" s="1" t="s">
        <v>416</v>
      </c>
      <c r="D92" s="1" t="s">
        <v>417</v>
      </c>
      <c r="E92" s="1" t="str">
        <f>VLOOKUP(A92,Sheet2!A:C,3,0)</f>
        <v>1405/05/24</v>
      </c>
      <c r="F92" s="1" t="str">
        <f>VLOOKUP(A92,Sheet2!A:D,4,0)</f>
        <v>1405/08/24</v>
      </c>
      <c r="G92" s="1" t="str">
        <f>VLOOKUP(A92,Sheet2!A:B,2,0)</f>
        <v>Nastaran</v>
      </c>
      <c r="H92" s="5">
        <f>VLOOKUP(A92,Sheet2!A:E,5,0)</f>
        <v>6600000</v>
      </c>
    </row>
    <row r="93" spans="1:8" x14ac:dyDescent="0.3">
      <c r="A93" s="1" t="s">
        <v>418</v>
      </c>
      <c r="B93" s="1" t="s">
        <v>418</v>
      </c>
      <c r="C93" s="1" t="s">
        <v>419</v>
      </c>
      <c r="D93" s="1" t="s">
        <v>420</v>
      </c>
      <c r="E93" s="1" t="str">
        <f>VLOOKUP(A93,Sheet2!A:C,3,0)</f>
        <v>1405/04/27</v>
      </c>
      <c r="F93" s="1" t="str">
        <f>VLOOKUP(A93,Sheet2!A:D,4,0)</f>
        <v>1405/07/27</v>
      </c>
      <c r="G93" s="1" t="str">
        <f>VLOOKUP(A93,Sheet2!A:B,2,0)</f>
        <v>Nastaran</v>
      </c>
      <c r="H93" s="5">
        <f>VLOOKUP(A93,Sheet2!A:E,5,0)</f>
        <v>72600000</v>
      </c>
    </row>
    <row r="94" spans="1:8" x14ac:dyDescent="0.3">
      <c r="A94" s="1" t="s">
        <v>421</v>
      </c>
      <c r="B94" s="1" t="s">
        <v>421</v>
      </c>
      <c r="C94" s="1" t="s">
        <v>422</v>
      </c>
      <c r="D94" s="1" t="s">
        <v>423</v>
      </c>
      <c r="E94" s="1" t="str">
        <f>VLOOKUP(A94,Sheet2!A:C,3,0)</f>
        <v>1405/04/04</v>
      </c>
      <c r="F94" s="1" t="str">
        <f>VLOOKUP(A94,Sheet2!A:D,4,0)</f>
        <v>1405/07/04</v>
      </c>
      <c r="G94" s="1" t="str">
        <f>VLOOKUP(A94,Sheet2!A:B,2,0)</f>
        <v>Nastaran</v>
      </c>
      <c r="H94" s="5">
        <f>VLOOKUP(A94,Sheet2!A:E,5,0)</f>
        <v>49500000</v>
      </c>
    </row>
    <row r="95" spans="1:8" x14ac:dyDescent="0.3">
      <c r="A95" s="1" t="s">
        <v>426</v>
      </c>
      <c r="B95" s="1" t="s">
        <v>426</v>
      </c>
      <c r="C95" s="1" t="s">
        <v>427</v>
      </c>
      <c r="D95" s="1" t="s">
        <v>428</v>
      </c>
      <c r="E95" s="1" t="str">
        <f>VLOOKUP(A95,Sheet2!A:C,3,0)</f>
        <v>1405/03/30</v>
      </c>
      <c r="F95" s="1" t="str">
        <f>VLOOKUP(A95,Sheet2!A:D,4,0)</f>
        <v>1405/06/30</v>
      </c>
      <c r="G95" s="1" t="str">
        <f>VLOOKUP(A95,Sheet2!A:B,2,0)</f>
        <v>Sara</v>
      </c>
      <c r="H95" s="5">
        <f>VLOOKUP(A95,Sheet2!A:E,5,0)</f>
        <v>34000000</v>
      </c>
    </row>
    <row r="96" spans="1:8" x14ac:dyDescent="0.3">
      <c r="A96" s="1" t="s">
        <v>429</v>
      </c>
      <c r="B96" s="1" t="s">
        <v>430</v>
      </c>
      <c r="C96" s="1" t="s">
        <v>431</v>
      </c>
      <c r="D96" s="1" t="s">
        <v>432</v>
      </c>
      <c r="E96" s="1" t="e">
        <f>VLOOKUP(A96,Sheet2!A:C,3,0)</f>
        <v>#N/A</v>
      </c>
      <c r="F96" s="1" t="e">
        <f>VLOOKUP(A96,Sheet2!A:D,4,0)</f>
        <v>#N/A</v>
      </c>
      <c r="G96" s="1" t="e">
        <f>VLOOKUP(A96,Sheet2!A:B,2,0)</f>
        <v>#N/A</v>
      </c>
      <c r="H96" s="5" t="e">
        <f>VLOOKUP(A96,Sheet2!A:E,5,0)</f>
        <v>#N/A</v>
      </c>
    </row>
    <row r="97" spans="1:8" x14ac:dyDescent="0.3">
      <c r="A97" s="1" t="s">
        <v>434</v>
      </c>
      <c r="B97" s="1" t="s">
        <v>435</v>
      </c>
      <c r="C97" s="1" t="s">
        <v>436</v>
      </c>
      <c r="D97" s="1" t="s">
        <v>437</v>
      </c>
      <c r="E97" s="1" t="str">
        <f>VLOOKUP(A97,Sheet2!A:C,3,0)</f>
        <v>1405/05/06</v>
      </c>
      <c r="F97" s="1" t="str">
        <f>VLOOKUP(A97,Sheet2!A:D,4,0)</f>
        <v>1405/08/06</v>
      </c>
      <c r="G97" s="1" t="str">
        <f>VLOOKUP(A97,Sheet2!A:B,2,0)</f>
        <v>Naser</v>
      </c>
      <c r="H97" s="5">
        <f>VLOOKUP(A97,Sheet2!A:E,5,0)</f>
        <v>206000000</v>
      </c>
    </row>
    <row r="98" spans="1:8" x14ac:dyDescent="0.3">
      <c r="A98" s="1" t="s">
        <v>434</v>
      </c>
      <c r="B98" s="1" t="s">
        <v>439</v>
      </c>
      <c r="C98" s="1" t="s">
        <v>440</v>
      </c>
      <c r="D98" s="1" t="s">
        <v>441</v>
      </c>
      <c r="E98" s="1" t="str">
        <f>VLOOKUP(A98,Sheet2!A:C,3,0)</f>
        <v>1405/05/06</v>
      </c>
      <c r="F98" s="1" t="str">
        <f>VLOOKUP(A98,Sheet2!A:D,4,0)</f>
        <v>1405/08/06</v>
      </c>
      <c r="G98" s="1" t="str">
        <f>VLOOKUP(A98,Sheet2!A:B,2,0)</f>
        <v>Naser</v>
      </c>
      <c r="H98" s="5">
        <f>VLOOKUP(A98,Sheet2!A:E,5,0)</f>
        <v>206000000</v>
      </c>
    </row>
    <row r="99" spans="1:8" x14ac:dyDescent="0.3">
      <c r="A99" s="1" t="s">
        <v>442</v>
      </c>
      <c r="B99" s="1" t="s">
        <v>443</v>
      </c>
      <c r="C99" s="1" t="s">
        <v>444</v>
      </c>
      <c r="D99" s="1" t="s">
        <v>445</v>
      </c>
      <c r="E99" s="1" t="str">
        <f>VLOOKUP(A99,Sheet2!A:C,3,0)</f>
        <v>1405/04/16</v>
      </c>
      <c r="F99" s="1" t="str">
        <f>VLOOKUP(A99,Sheet2!A:D,4,0)</f>
        <v>1405/07/16</v>
      </c>
      <c r="G99" s="1" t="str">
        <f>VLOOKUP(A99,Sheet2!A:B,2,0)</f>
        <v>Mohamad</v>
      </c>
      <c r="H99" s="5">
        <f>VLOOKUP(A99,Sheet2!A:E,5,0)</f>
        <v>60000000</v>
      </c>
    </row>
    <row r="100" spans="1:8" x14ac:dyDescent="0.3">
      <c r="A100" s="1" t="s">
        <v>446</v>
      </c>
      <c r="B100" s="1" t="s">
        <v>447</v>
      </c>
      <c r="C100" s="1" t="s">
        <v>448</v>
      </c>
      <c r="D100" s="1" t="s">
        <v>449</v>
      </c>
      <c r="E100" s="1" t="str">
        <f>VLOOKUP(A100,Sheet2!A:C,3,0)</f>
        <v>1405/03/18</v>
      </c>
      <c r="F100" s="1" t="str">
        <f>VLOOKUP(A100,Sheet2!A:D,4,0)</f>
        <v>1405/06/18</v>
      </c>
      <c r="G100" s="1" t="str">
        <f>VLOOKUP(A100,Sheet2!A:B,2,0)</f>
        <v>Nastaran</v>
      </c>
      <c r="H100" s="5">
        <f>VLOOKUP(A100,Sheet2!A:E,5,0)</f>
        <v>76000000</v>
      </c>
    </row>
    <row r="101" spans="1:8" x14ac:dyDescent="0.3">
      <c r="A101" s="1" t="s">
        <v>450</v>
      </c>
      <c r="B101" s="1" t="s">
        <v>450</v>
      </c>
      <c r="C101" s="1" t="s">
        <v>451</v>
      </c>
      <c r="D101" s="1" t="s">
        <v>452</v>
      </c>
      <c r="E101" s="1" t="str">
        <f>VLOOKUP(A101,Sheet2!A:C,3,0)</f>
        <v>1405/04/20</v>
      </c>
      <c r="F101" s="1" t="str">
        <f>VLOOKUP(A101,Sheet2!A:D,4,0)</f>
        <v>1405/07/20</v>
      </c>
      <c r="G101" s="1" t="str">
        <f>VLOOKUP(A101,Sheet2!A:B,2,0)</f>
        <v>Mohamad</v>
      </c>
      <c r="H101" s="5">
        <f>VLOOKUP(A101,Sheet2!A:E,5,0)</f>
        <v>42900000</v>
      </c>
    </row>
    <row r="102" spans="1:8" x14ac:dyDescent="0.3">
      <c r="A102" s="1" t="s">
        <v>455</v>
      </c>
      <c r="B102" s="1" t="s">
        <v>456</v>
      </c>
      <c r="C102" s="1" t="s">
        <v>457</v>
      </c>
      <c r="D102" s="1" t="s">
        <v>458</v>
      </c>
      <c r="E102" s="1" t="str">
        <f>VLOOKUP(A102,Sheet2!A:C,3,0)</f>
        <v>1405/02/30</v>
      </c>
      <c r="F102" s="1" t="str">
        <f>VLOOKUP(A102,Sheet2!A:D,4,0)</f>
        <v>1405/05/30</v>
      </c>
      <c r="G102" s="1" t="str">
        <f>VLOOKUP(A102,Sheet2!A:B,2,0)</f>
        <v>Nastaran</v>
      </c>
      <c r="H102" s="5">
        <f>VLOOKUP(A102,Sheet2!A:E,5,0)</f>
        <v>39600000</v>
      </c>
    </row>
    <row r="103" spans="1:8" x14ac:dyDescent="0.3">
      <c r="A103" s="1" t="s">
        <v>459</v>
      </c>
      <c r="B103" s="1" t="s">
        <v>459</v>
      </c>
      <c r="C103" s="1" t="s">
        <v>460</v>
      </c>
      <c r="D103" s="1" t="s">
        <v>461</v>
      </c>
      <c r="E103" s="1" t="e">
        <f>VLOOKUP(A103,Sheet2!A:C,3,0)</f>
        <v>#N/A</v>
      </c>
      <c r="F103" s="1" t="e">
        <f>VLOOKUP(A103,Sheet2!A:D,4,0)</f>
        <v>#N/A</v>
      </c>
      <c r="G103" s="1" t="e">
        <f>VLOOKUP(A103,Sheet2!A:B,2,0)</f>
        <v>#N/A</v>
      </c>
      <c r="H103" s="5" t="e">
        <f>VLOOKUP(A103,Sheet2!A:E,5,0)</f>
        <v>#N/A</v>
      </c>
    </row>
    <row r="104" spans="1:8" x14ac:dyDescent="0.3">
      <c r="A104" s="1" t="s">
        <v>464</v>
      </c>
      <c r="B104" s="1" t="s">
        <v>464</v>
      </c>
      <c r="C104" s="1" t="s">
        <v>465</v>
      </c>
      <c r="D104" s="1" t="s">
        <v>466</v>
      </c>
      <c r="E104" s="1" t="e">
        <f>VLOOKUP(A104,Sheet2!A:C,3,0)</f>
        <v>#N/A</v>
      </c>
      <c r="F104" s="1" t="e">
        <f>VLOOKUP(A104,Sheet2!A:D,4,0)</f>
        <v>#N/A</v>
      </c>
      <c r="G104" s="1" t="e">
        <f>VLOOKUP(A104,Sheet2!A:B,2,0)</f>
        <v>#N/A</v>
      </c>
      <c r="H104" s="5" t="e">
        <f>VLOOKUP(A104,Sheet2!A:E,5,0)</f>
        <v>#N/A</v>
      </c>
    </row>
    <row r="105" spans="1:8" x14ac:dyDescent="0.3">
      <c r="A105" s="1" t="s">
        <v>467</v>
      </c>
      <c r="B105" s="1" t="s">
        <v>468</v>
      </c>
      <c r="C105" s="1" t="s">
        <v>469</v>
      </c>
      <c r="D105" s="1" t="s">
        <v>470</v>
      </c>
      <c r="E105" s="1" t="e">
        <f>VLOOKUP(A105,Sheet2!A:C,3,0)</f>
        <v>#N/A</v>
      </c>
      <c r="F105" s="1" t="e">
        <f>VLOOKUP(A105,Sheet2!A:D,4,0)</f>
        <v>#N/A</v>
      </c>
      <c r="G105" s="1" t="e">
        <f>VLOOKUP(A105,Sheet2!A:B,2,0)</f>
        <v>#N/A</v>
      </c>
      <c r="H105" s="5" t="e">
        <f>VLOOKUP(A105,Sheet2!A:E,5,0)</f>
        <v>#N/A</v>
      </c>
    </row>
    <row r="106" spans="1:8" x14ac:dyDescent="0.3">
      <c r="A106" s="1" t="s">
        <v>467</v>
      </c>
      <c r="B106" s="1" t="s">
        <v>471</v>
      </c>
      <c r="C106" s="1" t="s">
        <v>472</v>
      </c>
      <c r="D106" s="1" t="s">
        <v>473</v>
      </c>
      <c r="E106" s="1" t="e">
        <f>VLOOKUP(A106,Sheet2!A:C,3,0)</f>
        <v>#N/A</v>
      </c>
      <c r="F106" s="1" t="e">
        <f>VLOOKUP(A106,Sheet2!A:D,4,0)</f>
        <v>#N/A</v>
      </c>
      <c r="G106" s="1" t="e">
        <f>VLOOKUP(A106,Sheet2!A:B,2,0)</f>
        <v>#N/A</v>
      </c>
      <c r="H106" s="5" t="e">
        <f>VLOOKUP(A106,Sheet2!A:E,5,0)</f>
        <v>#N/A</v>
      </c>
    </row>
    <row r="107" spans="1:8" x14ac:dyDescent="0.3">
      <c r="A107" s="1" t="s">
        <v>467</v>
      </c>
      <c r="B107" s="1" t="s">
        <v>474</v>
      </c>
      <c r="C107" s="1" t="s">
        <v>475</v>
      </c>
      <c r="D107" s="1" t="s">
        <v>476</v>
      </c>
      <c r="E107" s="1" t="e">
        <f>VLOOKUP(A107,Sheet2!A:C,3,0)</f>
        <v>#N/A</v>
      </c>
      <c r="F107" s="1" t="e">
        <f>VLOOKUP(A107,Sheet2!A:D,4,0)</f>
        <v>#N/A</v>
      </c>
      <c r="G107" s="1" t="e">
        <f>VLOOKUP(A107,Sheet2!A:B,2,0)</f>
        <v>#N/A</v>
      </c>
      <c r="H107" s="5" t="e">
        <f>VLOOKUP(A107,Sheet2!A:E,5,0)</f>
        <v>#N/A</v>
      </c>
    </row>
    <row r="108" spans="1:8" x14ac:dyDescent="0.3">
      <c r="A108" s="1" t="s">
        <v>467</v>
      </c>
      <c r="B108" s="1" t="s">
        <v>477</v>
      </c>
      <c r="C108" s="1" t="s">
        <v>478</v>
      </c>
      <c r="D108" s="1" t="s">
        <v>479</v>
      </c>
      <c r="E108" s="1" t="e">
        <f>VLOOKUP(A108,Sheet2!A:C,3,0)</f>
        <v>#N/A</v>
      </c>
      <c r="F108" s="1" t="e">
        <f>VLOOKUP(A108,Sheet2!A:D,4,0)</f>
        <v>#N/A</v>
      </c>
      <c r="G108" s="1" t="e">
        <f>VLOOKUP(A108,Sheet2!A:B,2,0)</f>
        <v>#N/A</v>
      </c>
      <c r="H108" s="5" t="e">
        <f>VLOOKUP(A108,Sheet2!A:E,5,0)</f>
        <v>#N/A</v>
      </c>
    </row>
    <row r="109" spans="1:8" x14ac:dyDescent="0.3">
      <c r="A109" s="1" t="s">
        <v>467</v>
      </c>
      <c r="B109" s="1" t="s">
        <v>480</v>
      </c>
      <c r="C109" s="1" t="s">
        <v>481</v>
      </c>
      <c r="D109" s="1" t="s">
        <v>482</v>
      </c>
      <c r="E109" s="1" t="e">
        <f>VLOOKUP(A109,Sheet2!A:C,3,0)</f>
        <v>#N/A</v>
      </c>
      <c r="F109" s="1" t="e">
        <f>VLOOKUP(A109,Sheet2!A:D,4,0)</f>
        <v>#N/A</v>
      </c>
      <c r="G109" s="1" t="e">
        <f>VLOOKUP(A109,Sheet2!A:B,2,0)</f>
        <v>#N/A</v>
      </c>
      <c r="H109" s="5" t="e">
        <f>VLOOKUP(A109,Sheet2!A:E,5,0)</f>
        <v>#N/A</v>
      </c>
    </row>
    <row r="110" spans="1:8" x14ac:dyDescent="0.3">
      <c r="A110" s="1" t="s">
        <v>467</v>
      </c>
      <c r="B110" s="1" t="s">
        <v>483</v>
      </c>
      <c r="C110" s="1" t="s">
        <v>484</v>
      </c>
      <c r="D110" s="1" t="s">
        <v>485</v>
      </c>
      <c r="E110" s="1" t="e">
        <f>VLOOKUP(A110,Sheet2!A:C,3,0)</f>
        <v>#N/A</v>
      </c>
      <c r="F110" s="1" t="e">
        <f>VLOOKUP(A110,Sheet2!A:D,4,0)</f>
        <v>#N/A</v>
      </c>
      <c r="G110" s="1" t="e">
        <f>VLOOKUP(A110,Sheet2!A:B,2,0)</f>
        <v>#N/A</v>
      </c>
      <c r="H110" s="5" t="e">
        <f>VLOOKUP(A110,Sheet2!A:E,5,0)</f>
        <v>#N/A</v>
      </c>
    </row>
    <row r="111" spans="1:8" x14ac:dyDescent="0.3">
      <c r="A111" s="1" t="s">
        <v>467</v>
      </c>
      <c r="B111" s="1" t="s">
        <v>486</v>
      </c>
      <c r="C111" s="1" t="s">
        <v>487</v>
      </c>
      <c r="D111" s="1" t="s">
        <v>488</v>
      </c>
      <c r="E111" s="1" t="e">
        <f>VLOOKUP(A111,Sheet2!A:C,3,0)</f>
        <v>#N/A</v>
      </c>
      <c r="F111" s="1" t="e">
        <f>VLOOKUP(A111,Sheet2!A:D,4,0)</f>
        <v>#N/A</v>
      </c>
      <c r="G111" s="1" t="e">
        <f>VLOOKUP(A111,Sheet2!A:B,2,0)</f>
        <v>#N/A</v>
      </c>
      <c r="H111" s="5" t="e">
        <f>VLOOKUP(A111,Sheet2!A:E,5,0)</f>
        <v>#N/A</v>
      </c>
    </row>
    <row r="112" spans="1:8" x14ac:dyDescent="0.3">
      <c r="A112" s="1" t="s">
        <v>467</v>
      </c>
      <c r="B112" s="1" t="s">
        <v>489</v>
      </c>
      <c r="C112" s="1" t="s">
        <v>490</v>
      </c>
      <c r="D112" s="1" t="s">
        <v>491</v>
      </c>
      <c r="E112" s="1" t="e">
        <f>VLOOKUP(A112,Sheet2!A:C,3,0)</f>
        <v>#N/A</v>
      </c>
      <c r="F112" s="1" t="e">
        <f>VLOOKUP(A112,Sheet2!A:D,4,0)</f>
        <v>#N/A</v>
      </c>
      <c r="G112" s="1" t="e">
        <f>VLOOKUP(A112,Sheet2!A:B,2,0)</f>
        <v>#N/A</v>
      </c>
      <c r="H112" s="5" t="e">
        <f>VLOOKUP(A112,Sheet2!A:E,5,0)</f>
        <v>#N/A</v>
      </c>
    </row>
    <row r="113" spans="1:8" x14ac:dyDescent="0.3">
      <c r="A113" s="1" t="s">
        <v>467</v>
      </c>
      <c r="B113" s="1" t="s">
        <v>492</v>
      </c>
      <c r="C113" s="1" t="s">
        <v>493</v>
      </c>
      <c r="D113" s="1" t="s">
        <v>494</v>
      </c>
      <c r="E113" s="1" t="e">
        <f>VLOOKUP(A113,Sheet2!A:C,3,0)</f>
        <v>#N/A</v>
      </c>
      <c r="F113" s="1" t="e">
        <f>VLOOKUP(A113,Sheet2!A:D,4,0)</f>
        <v>#N/A</v>
      </c>
      <c r="G113" s="1" t="e">
        <f>VLOOKUP(A113,Sheet2!A:B,2,0)</f>
        <v>#N/A</v>
      </c>
      <c r="H113" s="5" t="e">
        <f>VLOOKUP(A113,Sheet2!A:E,5,0)</f>
        <v>#N/A</v>
      </c>
    </row>
    <row r="114" spans="1:8" x14ac:dyDescent="0.3">
      <c r="A114" s="1" t="s">
        <v>495</v>
      </c>
      <c r="B114" s="1" t="s">
        <v>496</v>
      </c>
      <c r="C114" s="1" t="s">
        <v>497</v>
      </c>
      <c r="D114" s="1" t="s">
        <v>498</v>
      </c>
      <c r="E114" s="1" t="e">
        <f>VLOOKUP(A114,Sheet2!A:C,3,0)</f>
        <v>#N/A</v>
      </c>
      <c r="F114" s="1" t="e">
        <f>VLOOKUP(A114,Sheet2!A:D,4,0)</f>
        <v>#N/A</v>
      </c>
      <c r="G114" s="1" t="e">
        <f>VLOOKUP(A114,Sheet2!A:B,2,0)</f>
        <v>#N/A</v>
      </c>
      <c r="H114" s="5" t="e">
        <f>VLOOKUP(A114,Sheet2!A:E,5,0)</f>
        <v>#N/A</v>
      </c>
    </row>
    <row r="115" spans="1:8" x14ac:dyDescent="0.3">
      <c r="A115" s="1" t="s">
        <v>499</v>
      </c>
      <c r="B115" s="1" t="s">
        <v>500</v>
      </c>
      <c r="C115" s="1" t="s">
        <v>501</v>
      </c>
      <c r="D115" s="1" t="s">
        <v>502</v>
      </c>
      <c r="E115" s="1" t="str">
        <f>VLOOKUP(A115,Sheet2!A:C,3,0)</f>
        <v>1405/05/26</v>
      </c>
      <c r="F115" s="1" t="str">
        <f>VLOOKUP(A115,Sheet2!A:D,4,0)</f>
        <v>1405/08/26</v>
      </c>
      <c r="G115" s="1" t="str">
        <f>VLOOKUP(A115,Sheet2!A:B,2,0)</f>
        <v>Naser</v>
      </c>
      <c r="H115" s="5">
        <f>VLOOKUP(A115,Sheet2!A:E,5,0)</f>
        <v>99000000</v>
      </c>
    </row>
    <row r="116" spans="1:8" x14ac:dyDescent="0.3">
      <c r="A116" s="1" t="s">
        <v>499</v>
      </c>
      <c r="B116" s="1" t="s">
        <v>503</v>
      </c>
      <c r="C116" s="1" t="s">
        <v>504</v>
      </c>
      <c r="D116" s="1" t="s">
        <v>505</v>
      </c>
      <c r="E116" s="1" t="str">
        <f>VLOOKUP(A116,Sheet2!A:C,3,0)</f>
        <v>1405/05/26</v>
      </c>
      <c r="F116" s="1" t="str">
        <f>VLOOKUP(A116,Sheet2!A:D,4,0)</f>
        <v>1405/08/26</v>
      </c>
      <c r="G116" s="1" t="str">
        <f>VLOOKUP(A116,Sheet2!A:B,2,0)</f>
        <v>Naser</v>
      </c>
      <c r="H116" s="5">
        <f>VLOOKUP(A116,Sheet2!A:E,5,0)</f>
        <v>99000000</v>
      </c>
    </row>
    <row r="117" spans="1:8" x14ac:dyDescent="0.3">
      <c r="A117" s="1" t="s">
        <v>499</v>
      </c>
      <c r="B117" s="1" t="s">
        <v>506</v>
      </c>
      <c r="C117" s="1" t="s">
        <v>507</v>
      </c>
      <c r="D117" s="1" t="s">
        <v>508</v>
      </c>
      <c r="E117" s="1" t="str">
        <f>VLOOKUP(A117,Sheet2!A:C,3,0)</f>
        <v>1405/05/26</v>
      </c>
      <c r="F117" s="1" t="str">
        <f>VLOOKUP(A117,Sheet2!A:D,4,0)</f>
        <v>1405/08/26</v>
      </c>
      <c r="G117" s="1" t="str">
        <f>VLOOKUP(A117,Sheet2!A:B,2,0)</f>
        <v>Naser</v>
      </c>
      <c r="H117" s="5">
        <f>VLOOKUP(A117,Sheet2!A:E,5,0)</f>
        <v>99000000</v>
      </c>
    </row>
    <row r="118" spans="1:8" x14ac:dyDescent="0.3">
      <c r="A118" s="1" t="s">
        <v>509</v>
      </c>
      <c r="B118" s="1" t="s">
        <v>510</v>
      </c>
      <c r="C118" s="1" t="s">
        <v>511</v>
      </c>
      <c r="D118" s="1" t="s">
        <v>512</v>
      </c>
      <c r="E118" s="1" t="str">
        <f>VLOOKUP(A118,Sheet2!A:C,3,0)</f>
        <v>1405/05/11</v>
      </c>
      <c r="F118" s="1" t="str">
        <f>VLOOKUP(A118,Sheet2!A:D,4,0)</f>
        <v>1405/08/11</v>
      </c>
      <c r="G118" s="1" t="str">
        <f>VLOOKUP(A118,Sheet2!A:B,2,0)</f>
        <v>Naser</v>
      </c>
      <c r="H118" s="5">
        <f>VLOOKUP(A118,Sheet2!A:E,5,0)</f>
        <v>44000000</v>
      </c>
    </row>
    <row r="119" spans="1:8" x14ac:dyDescent="0.3">
      <c r="A119" s="1" t="s">
        <v>514</v>
      </c>
      <c r="B119" s="1" t="s">
        <v>514</v>
      </c>
      <c r="C119" s="1" t="s">
        <v>515</v>
      </c>
      <c r="D119" s="1" t="s">
        <v>516</v>
      </c>
      <c r="E119" s="1" t="str">
        <f>VLOOKUP(A119,Sheet2!A:C,3,0)</f>
        <v>1405/04/08</v>
      </c>
      <c r="F119" s="1" t="str">
        <f>VLOOKUP(A119,Sheet2!A:D,4,0)</f>
        <v>1405/07/08</v>
      </c>
      <c r="G119" s="1" t="str">
        <f>VLOOKUP(A119,Sheet2!A:B,2,0)</f>
        <v>Sanam</v>
      </c>
      <c r="H119" s="5">
        <f>VLOOKUP(A119,Sheet2!A:E,5,0)</f>
        <v>30000000</v>
      </c>
    </row>
    <row r="120" spans="1:8" x14ac:dyDescent="0.3">
      <c r="A120" s="1" t="s">
        <v>517</v>
      </c>
      <c r="B120" s="1" t="s">
        <v>518</v>
      </c>
      <c r="C120" s="1" t="s">
        <v>519</v>
      </c>
      <c r="D120" s="1" t="s">
        <v>520</v>
      </c>
      <c r="E120" s="1" t="str">
        <f>VLOOKUP(A120,Sheet2!A:C,3,0)</f>
        <v>1405/05/03</v>
      </c>
      <c r="F120" s="1" t="str">
        <f>VLOOKUP(A120,Sheet2!A:D,4,0)</f>
        <v>1405/08/03</v>
      </c>
      <c r="G120" s="1" t="str">
        <f>VLOOKUP(A120,Sheet2!A:B,2,0)</f>
        <v>Mohamad</v>
      </c>
      <c r="H120" s="5">
        <f>VLOOKUP(A120,Sheet2!A:E,5,0)</f>
        <v>29700000</v>
      </c>
    </row>
    <row r="121" spans="1:8" x14ac:dyDescent="0.3">
      <c r="A121" s="1" t="s">
        <v>521</v>
      </c>
      <c r="B121" s="1" t="s">
        <v>521</v>
      </c>
      <c r="C121" s="1" t="s">
        <v>522</v>
      </c>
      <c r="D121" s="1" t="s">
        <v>523</v>
      </c>
      <c r="E121" s="1" t="str">
        <f>VLOOKUP(A121,Sheet2!A:C,3,0)</f>
        <v>1405/05/06</v>
      </c>
      <c r="F121" s="1" t="str">
        <f>VLOOKUP(A121,Sheet2!A:D,4,0)</f>
        <v>1405/08/06</v>
      </c>
      <c r="G121" s="1" t="str">
        <f>VLOOKUP(A121,Sheet2!A:B,2,0)</f>
        <v>Sanam</v>
      </c>
      <c r="H121" s="5">
        <f>VLOOKUP(A121,Sheet2!A:E,5,0)</f>
        <v>80000000</v>
      </c>
    </row>
    <row r="122" spans="1:8" x14ac:dyDescent="0.3">
      <c r="A122" s="1" t="s">
        <v>525</v>
      </c>
      <c r="B122" s="1" t="s">
        <v>525</v>
      </c>
      <c r="C122" s="1" t="s">
        <v>526</v>
      </c>
      <c r="D122" s="1" t="s">
        <v>527</v>
      </c>
      <c r="E122" s="1" t="str">
        <f>VLOOKUP(A122,Sheet2!A:C,3,0)</f>
        <v>1405/04/28</v>
      </c>
      <c r="F122" s="1" t="str">
        <f>VLOOKUP(A122,Sheet2!A:D,4,0)</f>
        <v>1405/07/28</v>
      </c>
      <c r="G122" s="1" t="str">
        <f>VLOOKUP(A122,Sheet2!A:B,2,0)</f>
        <v>Shaqayeq</v>
      </c>
      <c r="H122" s="5">
        <f>VLOOKUP(A122,Sheet2!A:E,5,0)</f>
        <v>30000000</v>
      </c>
    </row>
    <row r="123" spans="1:8" x14ac:dyDescent="0.3">
      <c r="A123" s="1" t="s">
        <v>530</v>
      </c>
      <c r="B123" s="1" t="s">
        <v>530</v>
      </c>
      <c r="C123" s="1" t="s">
        <v>531</v>
      </c>
      <c r="D123" s="1" t="s">
        <v>532</v>
      </c>
      <c r="E123" s="1" t="e">
        <f>VLOOKUP(A123,Sheet2!A:C,3,0)</f>
        <v>#N/A</v>
      </c>
      <c r="F123" s="1" t="e">
        <f>VLOOKUP(A123,Sheet2!A:D,4,0)</f>
        <v>#N/A</v>
      </c>
      <c r="G123" s="1" t="e">
        <f>VLOOKUP(A123,Sheet2!A:B,2,0)</f>
        <v>#N/A</v>
      </c>
      <c r="H123" s="5" t="e">
        <f>VLOOKUP(A123,Sheet2!A:E,5,0)</f>
        <v>#N/A</v>
      </c>
    </row>
    <row r="124" spans="1:8" x14ac:dyDescent="0.3">
      <c r="A124" s="1" t="s">
        <v>533</v>
      </c>
      <c r="B124" s="1" t="s">
        <v>533</v>
      </c>
      <c r="C124" s="1" t="s">
        <v>534</v>
      </c>
      <c r="D124" s="1" t="s">
        <v>535</v>
      </c>
      <c r="E124" s="1" t="str">
        <f>VLOOKUP(A124,Sheet2!A:C,3,0)</f>
        <v>1405/06/16</v>
      </c>
      <c r="F124" s="1" t="str">
        <f>VLOOKUP(A124,Sheet2!A:D,4,0)</f>
        <v>1405/09/16</v>
      </c>
      <c r="G124" s="1" t="str">
        <f>VLOOKUP(A124,Sheet2!A:B,2,0)</f>
        <v>Nastaran</v>
      </c>
      <c r="H124" s="5">
        <f>VLOOKUP(A124,Sheet2!A:E,5,0)</f>
        <v>33000000</v>
      </c>
    </row>
    <row r="125" spans="1:8" x14ac:dyDescent="0.3">
      <c r="A125" s="1" t="s">
        <v>536</v>
      </c>
      <c r="B125" s="1" t="s">
        <v>537</v>
      </c>
      <c r="C125" s="1" t="s">
        <v>538</v>
      </c>
      <c r="D125" s="1" t="s">
        <v>539</v>
      </c>
      <c r="E125" s="1" t="str">
        <f>VLOOKUP(A125,Sheet2!A:C,3,0)</f>
        <v>1405/05/27</v>
      </c>
      <c r="F125" s="1" t="str">
        <f>VLOOKUP(A125,Sheet2!A:D,4,0)</f>
        <v>1405/08/27</v>
      </c>
      <c r="G125" s="1" t="str">
        <f>VLOOKUP(A125,Sheet2!A:B,2,0)</f>
        <v>Sanam</v>
      </c>
      <c r="H125" s="5">
        <f>VLOOKUP(A125,Sheet2!A:E,5,0)</f>
        <v>40000000</v>
      </c>
    </row>
    <row r="126" spans="1:8" x14ac:dyDescent="0.3">
      <c r="A126" s="1" t="s">
        <v>540</v>
      </c>
      <c r="B126" s="1" t="s">
        <v>541</v>
      </c>
      <c r="C126" s="1" t="s">
        <v>542</v>
      </c>
      <c r="D126" s="1" t="s">
        <v>543</v>
      </c>
      <c r="E126" s="1" t="str">
        <f>VLOOKUP(A126,Sheet2!A:C,3,0)</f>
        <v>1405/02/16</v>
      </c>
      <c r="F126" s="1" t="str">
        <f>VLOOKUP(A126,Sheet2!A:D,4,0)</f>
        <v>1405/05/16</v>
      </c>
      <c r="G126" s="1" t="str">
        <f>VLOOKUP(A126,Sheet2!A:B,2,0)</f>
        <v>Mohamad</v>
      </c>
      <c r="H126" s="5">
        <f>VLOOKUP(A126,Sheet2!A:E,5,0)</f>
        <v>46200000</v>
      </c>
    </row>
    <row r="127" spans="1:8" x14ac:dyDescent="0.3">
      <c r="A127" s="1" t="s">
        <v>545</v>
      </c>
      <c r="B127" s="1" t="s">
        <v>546</v>
      </c>
      <c r="C127" s="1" t="s">
        <v>547</v>
      </c>
      <c r="D127" s="1" t="s">
        <v>548</v>
      </c>
      <c r="E127" s="1" t="e">
        <f>VLOOKUP(A127,Sheet2!A:C,3,0)</f>
        <v>#N/A</v>
      </c>
      <c r="F127" s="1" t="e">
        <f>VLOOKUP(A127,Sheet2!A:D,4,0)</f>
        <v>#N/A</v>
      </c>
      <c r="G127" s="1" t="e">
        <f>VLOOKUP(A127,Sheet2!A:B,2,0)</f>
        <v>#N/A</v>
      </c>
      <c r="H127" s="5" t="e">
        <f>VLOOKUP(A127,Sheet2!A:E,5,0)</f>
        <v>#N/A</v>
      </c>
    </row>
    <row r="128" spans="1:8" x14ac:dyDescent="0.3">
      <c r="A128" s="1" t="s">
        <v>549</v>
      </c>
      <c r="B128" s="1" t="s">
        <v>549</v>
      </c>
      <c r="C128" s="1" t="s">
        <v>550</v>
      </c>
      <c r="D128" s="1" t="s">
        <v>551</v>
      </c>
      <c r="E128" s="1" t="str">
        <f>VLOOKUP(A128,Sheet2!A:C,3,0)</f>
        <v>1405/05/10</v>
      </c>
      <c r="F128" s="1" t="str">
        <f>VLOOKUP(A128,Sheet2!A:D,4,0)</f>
        <v>1405/08/10</v>
      </c>
      <c r="G128" s="1" t="str">
        <f>VLOOKUP(A128,Sheet2!A:B,2,0)</f>
        <v>shahrzad</v>
      </c>
      <c r="H128" s="5">
        <f>VLOOKUP(A128,Sheet2!A:E,5,0)</f>
        <v>58000000</v>
      </c>
    </row>
    <row r="129" spans="1:8" x14ac:dyDescent="0.3">
      <c r="A129" s="1" t="s">
        <v>552</v>
      </c>
      <c r="B129" s="1" t="s">
        <v>553</v>
      </c>
      <c r="C129" s="1" t="s">
        <v>554</v>
      </c>
      <c r="D129" s="1" t="s">
        <v>555</v>
      </c>
      <c r="E129" s="1" t="e">
        <f>VLOOKUP(A129,Sheet2!A:C,3,0)</f>
        <v>#N/A</v>
      </c>
      <c r="F129" s="1" t="e">
        <f>VLOOKUP(A129,Sheet2!A:D,4,0)</f>
        <v>#N/A</v>
      </c>
      <c r="G129" s="1" t="e">
        <f>VLOOKUP(A129,Sheet2!A:B,2,0)</f>
        <v>#N/A</v>
      </c>
      <c r="H129" s="5" t="e">
        <f>VLOOKUP(A129,Sheet2!A:E,5,0)</f>
        <v>#N/A</v>
      </c>
    </row>
    <row r="130" spans="1:8" x14ac:dyDescent="0.3">
      <c r="A130" s="1" t="s">
        <v>556</v>
      </c>
      <c r="B130" s="1" t="s">
        <v>556</v>
      </c>
      <c r="C130" s="1" t="s">
        <v>557</v>
      </c>
      <c r="D130" s="1" t="s">
        <v>558</v>
      </c>
      <c r="E130" s="1" t="str">
        <f>VLOOKUP(A130,Sheet2!A:C,3,0)</f>
        <v>1405/05/28</v>
      </c>
      <c r="F130" s="1" t="str">
        <f>VLOOKUP(A130,Sheet2!A:D,4,0)</f>
        <v>1405/08/28</v>
      </c>
      <c r="G130" s="1" t="str">
        <f>VLOOKUP(A130,Sheet2!A:B,2,0)</f>
        <v>shahrzad</v>
      </c>
      <c r="H130" s="5">
        <f>VLOOKUP(A130,Sheet2!A:E,5,0)</f>
        <v>82500000</v>
      </c>
    </row>
    <row r="131" spans="1:8" x14ac:dyDescent="0.3">
      <c r="A131" s="1" t="s">
        <v>556</v>
      </c>
      <c r="B131" s="1" t="s">
        <v>559</v>
      </c>
      <c r="C131" s="1" t="s">
        <v>560</v>
      </c>
      <c r="D131" s="1" t="s">
        <v>561</v>
      </c>
      <c r="E131" s="1" t="str">
        <f>VLOOKUP(A131,Sheet2!A:C,3,0)</f>
        <v>1405/05/28</v>
      </c>
      <c r="F131" s="1" t="str">
        <f>VLOOKUP(A131,Sheet2!A:D,4,0)</f>
        <v>1405/08/28</v>
      </c>
      <c r="G131" s="1" t="str">
        <f>VLOOKUP(A131,Sheet2!A:B,2,0)</f>
        <v>shahrzad</v>
      </c>
      <c r="H131" s="5">
        <f>VLOOKUP(A131,Sheet2!A:E,5,0)</f>
        <v>82500000</v>
      </c>
    </row>
    <row r="132" spans="1:8" x14ac:dyDescent="0.3">
      <c r="A132" s="1" t="s">
        <v>556</v>
      </c>
      <c r="B132" s="1" t="s">
        <v>562</v>
      </c>
      <c r="C132" s="1" t="s">
        <v>563</v>
      </c>
      <c r="D132" s="1" t="s">
        <v>564</v>
      </c>
      <c r="E132" s="1" t="str">
        <f>VLOOKUP(A132,Sheet2!A:C,3,0)</f>
        <v>1405/05/28</v>
      </c>
      <c r="F132" s="1" t="str">
        <f>VLOOKUP(A132,Sheet2!A:D,4,0)</f>
        <v>1405/08/28</v>
      </c>
      <c r="G132" s="1" t="str">
        <f>VLOOKUP(A132,Sheet2!A:B,2,0)</f>
        <v>shahrzad</v>
      </c>
      <c r="H132" s="5">
        <f>VLOOKUP(A132,Sheet2!A:E,5,0)</f>
        <v>82500000</v>
      </c>
    </row>
    <row r="133" spans="1:8" x14ac:dyDescent="0.3">
      <c r="A133" s="1" t="s">
        <v>565</v>
      </c>
      <c r="B133" s="1" t="s">
        <v>566</v>
      </c>
      <c r="C133" s="1" t="s">
        <v>567</v>
      </c>
      <c r="D133" s="1" t="s">
        <v>568</v>
      </c>
      <c r="E133" s="1" t="e">
        <f>VLOOKUP(A133,Sheet2!A:C,3,0)</f>
        <v>#N/A</v>
      </c>
      <c r="F133" s="1" t="e">
        <f>VLOOKUP(A133,Sheet2!A:D,4,0)</f>
        <v>#N/A</v>
      </c>
      <c r="G133" s="1" t="e">
        <f>VLOOKUP(A133,Sheet2!A:B,2,0)</f>
        <v>#N/A</v>
      </c>
      <c r="H133" s="5" t="e">
        <f>VLOOKUP(A133,Sheet2!A:E,5,0)</f>
        <v>#N/A</v>
      </c>
    </row>
    <row r="134" spans="1:8" x14ac:dyDescent="0.3">
      <c r="A134" s="1" t="s">
        <v>571</v>
      </c>
      <c r="B134" s="1" t="s">
        <v>572</v>
      </c>
      <c r="C134" s="1" t="s">
        <v>573</v>
      </c>
      <c r="D134" s="1" t="s">
        <v>574</v>
      </c>
      <c r="E134" s="1" t="str">
        <f>VLOOKUP(A134,Sheet2!A:C,3,0)</f>
        <v>1405/06/03</v>
      </c>
      <c r="F134" s="1" t="str">
        <f>VLOOKUP(A134,Sheet2!A:D,4,0)</f>
        <v>1405/09/03</v>
      </c>
      <c r="G134" s="1" t="str">
        <f>VLOOKUP(A134,Sheet2!A:B,2,0)</f>
        <v>Mohammad</v>
      </c>
      <c r="H134" s="5">
        <f>VLOOKUP(A134,Sheet2!A:E,5,0)</f>
        <v>44000000</v>
      </c>
    </row>
    <row r="135" spans="1:8" x14ac:dyDescent="0.3">
      <c r="A135" s="1" t="s">
        <v>575</v>
      </c>
      <c r="B135" s="1" t="s">
        <v>575</v>
      </c>
      <c r="C135" s="1" t="s">
        <v>576</v>
      </c>
      <c r="D135" s="1" t="s">
        <v>577</v>
      </c>
      <c r="E135" s="1" t="str">
        <f>VLOOKUP(A135,Sheet2!A:C,3,0)</f>
        <v>1405/04/28</v>
      </c>
      <c r="F135" s="1" t="str">
        <f>VLOOKUP(A135,Sheet2!A:D,4,0)</f>
        <v>1405/07/28</v>
      </c>
      <c r="G135" s="1" t="str">
        <f>VLOOKUP(A135,Sheet2!A:B,2,0)</f>
        <v>Mohammad</v>
      </c>
      <c r="H135" s="5">
        <f>VLOOKUP(A135,Sheet2!A:E,5,0)</f>
        <v>60000000</v>
      </c>
    </row>
    <row r="136" spans="1:8" x14ac:dyDescent="0.3">
      <c r="A136" s="1" t="s">
        <v>578</v>
      </c>
      <c r="B136" s="1" t="s">
        <v>578</v>
      </c>
      <c r="C136" s="1" t="s">
        <v>579</v>
      </c>
      <c r="D136" s="1" t="s">
        <v>580</v>
      </c>
      <c r="E136" s="1" t="e">
        <f>VLOOKUP(A136,Sheet2!A:C,3,0)</f>
        <v>#N/A</v>
      </c>
      <c r="F136" s="1" t="e">
        <f>VLOOKUP(A136,Sheet2!A:D,4,0)</f>
        <v>#N/A</v>
      </c>
      <c r="G136" s="1" t="e">
        <f>VLOOKUP(A136,Sheet2!A:B,2,0)</f>
        <v>#N/A</v>
      </c>
      <c r="H136" s="5" t="e">
        <f>VLOOKUP(A136,Sheet2!A:E,5,0)</f>
        <v>#N/A</v>
      </c>
    </row>
    <row r="137" spans="1:8" x14ac:dyDescent="0.3">
      <c r="A137" s="1" t="s">
        <v>581</v>
      </c>
      <c r="B137" s="1" t="s">
        <v>582</v>
      </c>
      <c r="C137" s="1" t="s">
        <v>583</v>
      </c>
      <c r="D137" s="1" t="s">
        <v>584</v>
      </c>
      <c r="E137" s="1" t="str">
        <f>VLOOKUP(A137,Sheet2!A:C,3,0)</f>
        <v>1405/05/11</v>
      </c>
      <c r="F137" s="1" t="str">
        <f>VLOOKUP(A137,Sheet2!A:D,4,0)</f>
        <v>1405/08/11</v>
      </c>
      <c r="G137" s="1" t="str">
        <f>VLOOKUP(A137,Sheet2!A:B,2,0)</f>
        <v>Sanam</v>
      </c>
      <c r="H137" s="5">
        <f>VLOOKUP(A137,Sheet2!A:E,5,0)</f>
        <v>95000000</v>
      </c>
    </row>
    <row r="138" spans="1:8" x14ac:dyDescent="0.3">
      <c r="A138" s="1" t="s">
        <v>585</v>
      </c>
      <c r="B138" s="1" t="s">
        <v>586</v>
      </c>
      <c r="C138" s="1" t="s">
        <v>587</v>
      </c>
      <c r="D138" s="1" t="s">
        <v>588</v>
      </c>
      <c r="E138" s="1" t="str">
        <f>VLOOKUP(A138,Sheet2!A:C,3,0)</f>
        <v>1405/05/12</v>
      </c>
      <c r="F138" s="1" t="str">
        <f>VLOOKUP(A138,Sheet2!A:D,4,0)</f>
        <v>1405/08/12</v>
      </c>
      <c r="G138" s="1" t="str">
        <f>VLOOKUP(A138,Sheet2!A:B,2,0)</f>
        <v>Shahrzad</v>
      </c>
      <c r="H138" s="5">
        <f>VLOOKUP(A138,Sheet2!A:E,5,0)</f>
        <v>82500000</v>
      </c>
    </row>
    <row r="139" spans="1:8" x14ac:dyDescent="0.3">
      <c r="A139" s="1" t="s">
        <v>585</v>
      </c>
      <c r="B139" s="1" t="s">
        <v>589</v>
      </c>
      <c r="C139" s="1" t="s">
        <v>590</v>
      </c>
      <c r="D139" s="1" t="s">
        <v>591</v>
      </c>
      <c r="E139" s="1" t="str">
        <f>VLOOKUP(A139,Sheet2!A:C,3,0)</f>
        <v>1405/05/12</v>
      </c>
      <c r="F139" s="1" t="str">
        <f>VLOOKUP(A139,Sheet2!A:D,4,0)</f>
        <v>1405/08/12</v>
      </c>
      <c r="G139" s="1" t="str">
        <f>VLOOKUP(A139,Sheet2!A:B,2,0)</f>
        <v>Shahrzad</v>
      </c>
      <c r="H139" s="5">
        <f>VLOOKUP(A139,Sheet2!A:E,5,0)</f>
        <v>82500000</v>
      </c>
    </row>
    <row r="140" spans="1:8" x14ac:dyDescent="0.3">
      <c r="A140" s="1" t="s">
        <v>592</v>
      </c>
      <c r="B140" s="1" t="s">
        <v>593</v>
      </c>
      <c r="C140" s="1" t="s">
        <v>594</v>
      </c>
      <c r="D140" s="1" t="s">
        <v>595</v>
      </c>
      <c r="E140" s="1" t="str">
        <f>VLOOKUP(A140,Sheet2!A:C,3,0)</f>
        <v>1405/05/05</v>
      </c>
      <c r="F140" s="1" t="str">
        <f>VLOOKUP(A140,Sheet2!A:D,4,0)</f>
        <v>1405/08/05</v>
      </c>
      <c r="G140" s="1" t="str">
        <f>VLOOKUP(A140,Sheet2!A:B,2,0)</f>
        <v>Sanam</v>
      </c>
      <c r="H140" s="5">
        <f>VLOOKUP(A140,Sheet2!A:E,5,0)</f>
        <v>180000000</v>
      </c>
    </row>
    <row r="141" spans="1:8" x14ac:dyDescent="0.3">
      <c r="A141" s="1" t="s">
        <v>592</v>
      </c>
      <c r="B141" s="1" t="s">
        <v>596</v>
      </c>
      <c r="C141" s="1" t="s">
        <v>597</v>
      </c>
      <c r="D141" s="1" t="s">
        <v>598</v>
      </c>
      <c r="E141" s="1" t="str">
        <f>VLOOKUP(A141,Sheet2!A:C,3,0)</f>
        <v>1405/05/05</v>
      </c>
      <c r="F141" s="1" t="str">
        <f>VLOOKUP(A141,Sheet2!A:D,4,0)</f>
        <v>1405/08/05</v>
      </c>
      <c r="G141" s="1" t="str">
        <f>VLOOKUP(A141,Sheet2!A:B,2,0)</f>
        <v>Sanam</v>
      </c>
      <c r="H141" s="5">
        <f>VLOOKUP(A141,Sheet2!A:E,5,0)</f>
        <v>180000000</v>
      </c>
    </row>
    <row r="142" spans="1:8" x14ac:dyDescent="0.3">
      <c r="A142" s="1" t="s">
        <v>599</v>
      </c>
      <c r="B142" s="1" t="s">
        <v>599</v>
      </c>
      <c r="C142" s="1" t="s">
        <v>600</v>
      </c>
      <c r="D142" s="1" t="s">
        <v>601</v>
      </c>
      <c r="E142" s="1" t="e">
        <f>VLOOKUP(A142,Sheet2!A:C,3,0)</f>
        <v>#N/A</v>
      </c>
      <c r="F142" s="1" t="e">
        <f>VLOOKUP(A142,Sheet2!A:D,4,0)</f>
        <v>#N/A</v>
      </c>
      <c r="G142" s="1" t="e">
        <f>VLOOKUP(A142,Sheet2!A:B,2,0)</f>
        <v>#N/A</v>
      </c>
      <c r="H142" s="5" t="e">
        <f>VLOOKUP(A142,Sheet2!A:E,5,0)</f>
        <v>#N/A</v>
      </c>
    </row>
    <row r="143" spans="1:8" x14ac:dyDescent="0.3">
      <c r="A143" s="1" t="s">
        <v>602</v>
      </c>
      <c r="B143" s="1" t="s">
        <v>603</v>
      </c>
      <c r="C143" s="1" t="s">
        <v>604</v>
      </c>
      <c r="D143" s="1" t="s">
        <v>605</v>
      </c>
      <c r="E143" s="1" t="str">
        <f>VLOOKUP(A143,Sheet2!A:C,3,0)</f>
        <v>1405/05/11</v>
      </c>
      <c r="F143" s="1" t="str">
        <f>VLOOKUP(A143,Sheet2!A:D,4,0)</f>
        <v>1405/08/11</v>
      </c>
      <c r="G143" s="1" t="str">
        <f>VLOOKUP(A143,Sheet2!A:B,2,0)</f>
        <v>Mohammad</v>
      </c>
      <c r="H143" s="5">
        <f>VLOOKUP(A143,Sheet2!A:E,5,0)</f>
        <v>60000000</v>
      </c>
    </row>
    <row r="144" spans="1:8" x14ac:dyDescent="0.3">
      <c r="A144" s="1" t="s">
        <v>608</v>
      </c>
      <c r="B144" s="1" t="s">
        <v>609</v>
      </c>
      <c r="C144" s="1" t="s">
        <v>610</v>
      </c>
      <c r="D144" s="1" t="s">
        <v>611</v>
      </c>
      <c r="E144" s="1" t="e">
        <f>VLOOKUP(A144,Sheet2!A:C,3,0)</f>
        <v>#N/A</v>
      </c>
      <c r="F144" s="1" t="e">
        <f>VLOOKUP(A144,Sheet2!A:D,4,0)</f>
        <v>#N/A</v>
      </c>
      <c r="G144" s="1" t="e">
        <f>VLOOKUP(A144,Sheet2!A:B,2,0)</f>
        <v>#N/A</v>
      </c>
      <c r="H144" s="5" t="e">
        <f>VLOOKUP(A144,Sheet2!A:E,5,0)</f>
        <v>#N/A</v>
      </c>
    </row>
    <row r="145" spans="1:8" x14ac:dyDescent="0.3">
      <c r="A145" s="1" t="s">
        <v>612</v>
      </c>
      <c r="B145" s="1" t="s">
        <v>613</v>
      </c>
      <c r="C145" s="1" t="s">
        <v>614</v>
      </c>
      <c r="D145" s="1" t="s">
        <v>615</v>
      </c>
      <c r="E145" s="1" t="str">
        <f>VLOOKUP(A145,Sheet2!A:C,3,0)</f>
        <v>1405/05/04</v>
      </c>
      <c r="F145" s="1" t="str">
        <f>VLOOKUP(A145,Sheet2!A:D,4,0)</f>
        <v>1405/08/04</v>
      </c>
      <c r="G145" s="1" t="str">
        <f>VLOOKUP(A145,Sheet2!A:B,2,0)</f>
        <v>Sanam</v>
      </c>
      <c r="H145" s="5">
        <f>VLOOKUP(A145,Sheet2!A:E,5,0)</f>
        <v>77000000</v>
      </c>
    </row>
    <row r="146" spans="1:8" x14ac:dyDescent="0.3">
      <c r="A146" s="1" t="s">
        <v>618</v>
      </c>
      <c r="B146" s="1" t="s">
        <v>619</v>
      </c>
      <c r="C146" s="1" t="s">
        <v>620</v>
      </c>
      <c r="D146" s="1" t="s">
        <v>621</v>
      </c>
      <c r="E146" s="1" t="e">
        <f>VLOOKUP(A146,Sheet2!A:C,3,0)</f>
        <v>#N/A</v>
      </c>
      <c r="F146" s="1" t="e">
        <f>VLOOKUP(A146,Sheet2!A:D,4,0)</f>
        <v>#N/A</v>
      </c>
      <c r="G146" s="1" t="e">
        <f>VLOOKUP(A146,Sheet2!A:B,2,0)</f>
        <v>#N/A</v>
      </c>
      <c r="H146" s="5" t="e">
        <f>VLOOKUP(A146,Sheet2!A:E,5,0)</f>
        <v>#N/A</v>
      </c>
    </row>
    <row r="147" spans="1:8" x14ac:dyDescent="0.3">
      <c r="A147" s="1" t="s">
        <v>622</v>
      </c>
      <c r="B147" s="1" t="s">
        <v>623</v>
      </c>
      <c r="C147" s="1" t="s">
        <v>624</v>
      </c>
      <c r="D147" s="1" t="s">
        <v>625</v>
      </c>
      <c r="E147" s="1" t="e">
        <f>VLOOKUP(A147,Sheet2!A:C,3,0)</f>
        <v>#N/A</v>
      </c>
      <c r="F147" s="1" t="e">
        <f>VLOOKUP(A147,Sheet2!A:D,4,0)</f>
        <v>#N/A</v>
      </c>
      <c r="G147" s="1" t="e">
        <f>VLOOKUP(A147,Sheet2!A:B,2,0)</f>
        <v>#N/A</v>
      </c>
      <c r="H147" s="5" t="e">
        <f>VLOOKUP(A147,Sheet2!A:E,5,0)</f>
        <v>#N/A</v>
      </c>
    </row>
    <row r="148" spans="1:8" x14ac:dyDescent="0.3">
      <c r="A148" s="1" t="s">
        <v>622</v>
      </c>
      <c r="B148" s="1" t="s">
        <v>628</v>
      </c>
      <c r="C148" s="1" t="s">
        <v>629</v>
      </c>
      <c r="D148" s="1" t="s">
        <v>630</v>
      </c>
      <c r="E148" s="1" t="e">
        <f>VLOOKUP(A148,Sheet2!A:C,3,0)</f>
        <v>#N/A</v>
      </c>
      <c r="F148" s="1" t="e">
        <f>VLOOKUP(A148,Sheet2!A:D,4,0)</f>
        <v>#N/A</v>
      </c>
      <c r="G148" s="1" t="e">
        <f>VLOOKUP(A148,Sheet2!A:B,2,0)</f>
        <v>#N/A</v>
      </c>
      <c r="H148" s="5" t="e">
        <f>VLOOKUP(A148,Sheet2!A:E,5,0)</f>
        <v>#N/A</v>
      </c>
    </row>
    <row r="149" spans="1:8" x14ac:dyDescent="0.3">
      <c r="A149" s="1" t="s">
        <v>631</v>
      </c>
      <c r="B149" s="1" t="s">
        <v>632</v>
      </c>
      <c r="C149" s="1" t="s">
        <v>633</v>
      </c>
      <c r="D149" s="1" t="s">
        <v>634</v>
      </c>
      <c r="E149" s="1" t="e">
        <f>VLOOKUP(A149,Sheet2!A:C,3,0)</f>
        <v>#N/A</v>
      </c>
      <c r="F149" s="1" t="e">
        <f>VLOOKUP(A149,Sheet2!A:D,4,0)</f>
        <v>#N/A</v>
      </c>
      <c r="G149" s="1" t="e">
        <f>VLOOKUP(A149,Sheet2!A:B,2,0)</f>
        <v>#N/A</v>
      </c>
      <c r="H149" s="5" t="e">
        <f>VLOOKUP(A149,Sheet2!A:E,5,0)</f>
        <v>#N/A</v>
      </c>
    </row>
    <row r="150" spans="1:8" x14ac:dyDescent="0.3">
      <c r="A150" s="1" t="s">
        <v>635</v>
      </c>
      <c r="B150" s="1" t="s">
        <v>635</v>
      </c>
      <c r="C150" s="1" t="s">
        <v>636</v>
      </c>
      <c r="D150" s="1" t="s">
        <v>637</v>
      </c>
      <c r="E150" s="1" t="str">
        <f>VLOOKUP(A150,Sheet2!A:C,3,0)</f>
        <v>1405/05/05</v>
      </c>
      <c r="F150" s="1" t="str">
        <f>VLOOKUP(A150,Sheet2!A:D,4,0)</f>
        <v>1405/08/05</v>
      </c>
      <c r="G150" s="1" t="str">
        <f>VLOOKUP(A150,Sheet2!A:B,2,0)</f>
        <v>Shaghayegh</v>
      </c>
      <c r="H150" s="5">
        <f>VLOOKUP(A150,Sheet2!A:E,5,0)</f>
        <v>330000000</v>
      </c>
    </row>
    <row r="151" spans="1:8" x14ac:dyDescent="0.3">
      <c r="A151" s="1" t="s">
        <v>638</v>
      </c>
      <c r="B151" s="1" t="s">
        <v>638</v>
      </c>
      <c r="C151" s="1" t="s">
        <v>639</v>
      </c>
      <c r="D151" s="1" t="s">
        <v>640</v>
      </c>
      <c r="E151" s="1" t="e">
        <f>VLOOKUP(A151,Sheet2!A:C,3,0)</f>
        <v>#N/A</v>
      </c>
      <c r="F151" s="1" t="e">
        <f>VLOOKUP(A151,Sheet2!A:D,4,0)</f>
        <v>#N/A</v>
      </c>
      <c r="G151" s="1" t="e">
        <f>VLOOKUP(A151,Sheet2!A:B,2,0)</f>
        <v>#N/A</v>
      </c>
      <c r="H151" s="5" t="e">
        <f>VLOOKUP(A151,Sheet2!A:E,5,0)</f>
        <v>#N/A</v>
      </c>
    </row>
    <row r="152" spans="1:8" x14ac:dyDescent="0.3">
      <c r="A152" s="1" t="s">
        <v>641</v>
      </c>
      <c r="B152" s="1" t="s">
        <v>641</v>
      </c>
      <c r="C152" s="1" t="s">
        <v>642</v>
      </c>
      <c r="D152" s="1" t="s">
        <v>643</v>
      </c>
      <c r="E152" s="1" t="str">
        <f>VLOOKUP(A152,Sheet2!A:C,3,0)</f>
        <v>1405/06/03</v>
      </c>
      <c r="F152" s="1" t="str">
        <f>VLOOKUP(A152,Sheet2!A:D,4,0)</f>
        <v>1405/09/03</v>
      </c>
      <c r="G152" s="1" t="str">
        <f>VLOOKUP(A152,Sheet2!A:B,2,0)</f>
        <v>Sanam</v>
      </c>
      <c r="H152" s="5">
        <f>VLOOKUP(A152,Sheet2!A:E,5,0)</f>
        <v>175000000</v>
      </c>
    </row>
    <row r="153" spans="1:8" x14ac:dyDescent="0.3">
      <c r="A153" s="1" t="s">
        <v>641</v>
      </c>
      <c r="B153" s="1" t="s">
        <v>644</v>
      </c>
      <c r="C153" s="1" t="s">
        <v>645</v>
      </c>
      <c r="D153" s="1" t="s">
        <v>646</v>
      </c>
      <c r="E153" s="1" t="str">
        <f>VLOOKUP(A153,Sheet2!A:C,3,0)</f>
        <v>1405/06/03</v>
      </c>
      <c r="F153" s="1" t="str">
        <f>VLOOKUP(A153,Sheet2!A:D,4,0)</f>
        <v>1405/09/03</v>
      </c>
      <c r="G153" s="1" t="str">
        <f>VLOOKUP(A153,Sheet2!A:B,2,0)</f>
        <v>Sanam</v>
      </c>
      <c r="H153" s="5">
        <f>VLOOKUP(A153,Sheet2!A:E,5,0)</f>
        <v>175000000</v>
      </c>
    </row>
    <row r="154" spans="1:8" x14ac:dyDescent="0.3">
      <c r="A154" s="1" t="s">
        <v>641</v>
      </c>
      <c r="B154" s="1" t="s">
        <v>647</v>
      </c>
      <c r="C154" s="1" t="s">
        <v>648</v>
      </c>
      <c r="D154" s="1" t="s">
        <v>649</v>
      </c>
      <c r="E154" s="1" t="str">
        <f>VLOOKUP(A154,Sheet2!A:C,3,0)</f>
        <v>1405/06/03</v>
      </c>
      <c r="F154" s="1" t="str">
        <f>VLOOKUP(A154,Sheet2!A:D,4,0)</f>
        <v>1405/09/03</v>
      </c>
      <c r="G154" s="1" t="str">
        <f>VLOOKUP(A154,Sheet2!A:B,2,0)</f>
        <v>Sanam</v>
      </c>
      <c r="H154" s="5">
        <f>VLOOKUP(A154,Sheet2!A:E,5,0)</f>
        <v>175000000</v>
      </c>
    </row>
    <row r="155" spans="1:8" x14ac:dyDescent="0.3">
      <c r="A155" s="1" t="s">
        <v>641</v>
      </c>
      <c r="B155" s="1" t="s">
        <v>650</v>
      </c>
      <c r="C155" s="1" t="s">
        <v>651</v>
      </c>
      <c r="D155" s="1" t="s">
        <v>652</v>
      </c>
      <c r="E155" s="1" t="str">
        <f>VLOOKUP(A155,Sheet2!A:C,3,0)</f>
        <v>1405/06/03</v>
      </c>
      <c r="F155" s="1" t="str">
        <f>VLOOKUP(A155,Sheet2!A:D,4,0)</f>
        <v>1405/09/03</v>
      </c>
      <c r="G155" s="1" t="str">
        <f>VLOOKUP(A155,Sheet2!A:B,2,0)</f>
        <v>Sanam</v>
      </c>
      <c r="H155" s="5">
        <f>VLOOKUP(A155,Sheet2!A:E,5,0)</f>
        <v>175000000</v>
      </c>
    </row>
    <row r="156" spans="1:8" x14ac:dyDescent="0.3">
      <c r="A156" s="1" t="s">
        <v>641</v>
      </c>
      <c r="B156" s="1" t="s">
        <v>653</v>
      </c>
      <c r="C156" s="1" t="s">
        <v>654</v>
      </c>
      <c r="D156" s="1" t="s">
        <v>655</v>
      </c>
      <c r="E156" s="1" t="str">
        <f>VLOOKUP(A156,Sheet2!A:C,3,0)</f>
        <v>1405/06/03</v>
      </c>
      <c r="F156" s="1" t="str">
        <f>VLOOKUP(A156,Sheet2!A:D,4,0)</f>
        <v>1405/09/03</v>
      </c>
      <c r="G156" s="1" t="str">
        <f>VLOOKUP(A156,Sheet2!A:B,2,0)</f>
        <v>Sanam</v>
      </c>
      <c r="H156" s="5">
        <f>VLOOKUP(A156,Sheet2!A:E,5,0)</f>
        <v>175000000</v>
      </c>
    </row>
    <row r="157" spans="1:8" x14ac:dyDescent="0.3">
      <c r="A157" s="1" t="s">
        <v>656</v>
      </c>
      <c r="B157" s="1" t="s">
        <v>657</v>
      </c>
      <c r="C157" s="1" t="s">
        <v>658</v>
      </c>
      <c r="D157" s="1" t="s">
        <v>659</v>
      </c>
      <c r="E157" s="1" t="e">
        <f>VLOOKUP(A157,Sheet2!A:C,3,0)</f>
        <v>#N/A</v>
      </c>
      <c r="F157" s="1" t="e">
        <f>VLOOKUP(A157,Sheet2!A:D,4,0)</f>
        <v>#N/A</v>
      </c>
      <c r="G157" s="1" t="e">
        <f>VLOOKUP(A157,Sheet2!A:B,2,0)</f>
        <v>#N/A</v>
      </c>
      <c r="H157" s="5" t="e">
        <f>VLOOKUP(A157,Sheet2!A:E,5,0)</f>
        <v>#N/A</v>
      </c>
    </row>
    <row r="158" spans="1:8" x14ac:dyDescent="0.3">
      <c r="A158" s="1" t="s">
        <v>656</v>
      </c>
      <c r="B158" s="1" t="s">
        <v>660</v>
      </c>
      <c r="C158" s="1" t="s">
        <v>661</v>
      </c>
      <c r="D158" s="1" t="s">
        <v>662</v>
      </c>
      <c r="E158" s="1" t="e">
        <f>VLOOKUP(A158,Sheet2!A:C,3,0)</f>
        <v>#N/A</v>
      </c>
      <c r="F158" s="1" t="e">
        <f>VLOOKUP(A158,Sheet2!A:D,4,0)</f>
        <v>#N/A</v>
      </c>
      <c r="G158" s="1" t="e">
        <f>VLOOKUP(A158,Sheet2!A:B,2,0)</f>
        <v>#N/A</v>
      </c>
      <c r="H158" s="5" t="e">
        <f>VLOOKUP(A158,Sheet2!A:E,5,0)</f>
        <v>#N/A</v>
      </c>
    </row>
    <row r="159" spans="1:8" x14ac:dyDescent="0.3">
      <c r="A159" s="1" t="s">
        <v>656</v>
      </c>
      <c r="B159" s="1" t="s">
        <v>663</v>
      </c>
      <c r="C159" s="1" t="s">
        <v>664</v>
      </c>
      <c r="D159" s="1" t="s">
        <v>665</v>
      </c>
      <c r="E159" s="1" t="e">
        <f>VLOOKUP(A159,Sheet2!A:C,3,0)</f>
        <v>#N/A</v>
      </c>
      <c r="F159" s="1" t="e">
        <f>VLOOKUP(A159,Sheet2!A:D,4,0)</f>
        <v>#N/A</v>
      </c>
      <c r="G159" s="1" t="e">
        <f>VLOOKUP(A159,Sheet2!A:B,2,0)</f>
        <v>#N/A</v>
      </c>
      <c r="H159" s="5" t="e">
        <f>VLOOKUP(A159,Sheet2!A:E,5,0)</f>
        <v>#N/A</v>
      </c>
    </row>
    <row r="160" spans="1:8" x14ac:dyDescent="0.3">
      <c r="A160" s="1" t="s">
        <v>656</v>
      </c>
      <c r="B160" s="1" t="s">
        <v>666</v>
      </c>
      <c r="C160" s="1" t="s">
        <v>667</v>
      </c>
      <c r="D160" s="1" t="s">
        <v>668</v>
      </c>
      <c r="E160" s="1" t="e">
        <f>VLOOKUP(A160,Sheet2!A:C,3,0)</f>
        <v>#N/A</v>
      </c>
      <c r="F160" s="1" t="e">
        <f>VLOOKUP(A160,Sheet2!A:D,4,0)</f>
        <v>#N/A</v>
      </c>
      <c r="G160" s="1" t="e">
        <f>VLOOKUP(A160,Sheet2!A:B,2,0)</f>
        <v>#N/A</v>
      </c>
      <c r="H160" s="5" t="e">
        <f>VLOOKUP(A160,Sheet2!A:E,5,0)</f>
        <v>#N/A</v>
      </c>
    </row>
    <row r="161" spans="1:8" x14ac:dyDescent="0.3">
      <c r="A161" s="1" t="s">
        <v>669</v>
      </c>
      <c r="B161" s="1" t="s">
        <v>669</v>
      </c>
      <c r="C161" s="1" t="s">
        <v>670</v>
      </c>
      <c r="D161" s="1" t="s">
        <v>671</v>
      </c>
      <c r="E161" s="1" t="e">
        <f>VLOOKUP(A161,Sheet2!A:C,3,0)</f>
        <v>#N/A</v>
      </c>
      <c r="F161" s="1" t="e">
        <f>VLOOKUP(A161,Sheet2!A:D,4,0)</f>
        <v>#N/A</v>
      </c>
      <c r="G161" s="1" t="e">
        <f>VLOOKUP(A161,Sheet2!A:B,2,0)</f>
        <v>#N/A</v>
      </c>
      <c r="H161" s="5" t="e">
        <f>VLOOKUP(A161,Sheet2!A:E,5,0)</f>
        <v>#N/A</v>
      </c>
    </row>
    <row r="162" spans="1:8" x14ac:dyDescent="0.3">
      <c r="A162" s="1" t="s">
        <v>672</v>
      </c>
      <c r="B162" s="1" t="s">
        <v>673</v>
      </c>
      <c r="C162" s="1" t="s">
        <v>674</v>
      </c>
      <c r="D162" s="1" t="s">
        <v>675</v>
      </c>
      <c r="E162" s="1" t="str">
        <f>VLOOKUP(A162,Sheet2!A:C,3,0)</f>
        <v>1405/04/29</v>
      </c>
      <c r="F162" s="1" t="str">
        <f>VLOOKUP(A162,Sheet2!A:D,4,0)</f>
        <v>1405/07/29</v>
      </c>
      <c r="G162" s="1" t="str">
        <f>VLOOKUP(A162,Sheet2!A:B,2,0)</f>
        <v>Shaghayegh</v>
      </c>
      <c r="H162" s="5">
        <f>VLOOKUP(A162,Sheet2!A:E,5,0)</f>
        <v>40000000</v>
      </c>
    </row>
    <row r="163" spans="1:8" x14ac:dyDescent="0.3">
      <c r="A163" s="1" t="s">
        <v>672</v>
      </c>
      <c r="B163" s="1" t="s">
        <v>676</v>
      </c>
      <c r="C163" s="1" t="s">
        <v>677</v>
      </c>
      <c r="D163" s="1" t="s">
        <v>678</v>
      </c>
      <c r="E163" s="1" t="str">
        <f>VLOOKUP(A163,Sheet2!A:C,3,0)</f>
        <v>1405/04/29</v>
      </c>
      <c r="F163" s="1" t="str">
        <f>VLOOKUP(A163,Sheet2!A:D,4,0)</f>
        <v>1405/07/29</v>
      </c>
      <c r="G163" s="1" t="str">
        <f>VLOOKUP(A163,Sheet2!A:B,2,0)</f>
        <v>Shaghayegh</v>
      </c>
      <c r="H163" s="5">
        <f>VLOOKUP(A163,Sheet2!A:E,5,0)</f>
        <v>40000000</v>
      </c>
    </row>
    <row r="164" spans="1:8" x14ac:dyDescent="0.3">
      <c r="A164" s="1" t="s">
        <v>672</v>
      </c>
      <c r="B164" s="1" t="s">
        <v>679</v>
      </c>
      <c r="C164" s="1" t="s">
        <v>680</v>
      </c>
      <c r="D164" s="1" t="s">
        <v>681</v>
      </c>
      <c r="E164" s="1" t="str">
        <f>VLOOKUP(A164,Sheet2!A:C,3,0)</f>
        <v>1405/04/29</v>
      </c>
      <c r="F164" s="1" t="str">
        <f>VLOOKUP(A164,Sheet2!A:D,4,0)</f>
        <v>1405/07/29</v>
      </c>
      <c r="G164" s="1" t="str">
        <f>VLOOKUP(A164,Sheet2!A:B,2,0)</f>
        <v>Shaghayegh</v>
      </c>
      <c r="H164" s="5">
        <f>VLOOKUP(A164,Sheet2!A:E,5,0)</f>
        <v>40000000</v>
      </c>
    </row>
    <row r="165" spans="1:8" x14ac:dyDescent="0.3">
      <c r="A165" s="1" t="s">
        <v>682</v>
      </c>
      <c r="B165" s="1" t="s">
        <v>683</v>
      </c>
      <c r="C165" s="1" t="s">
        <v>684</v>
      </c>
      <c r="D165" s="1" t="s">
        <v>685</v>
      </c>
      <c r="E165" s="1" t="str">
        <f>VLOOKUP(A165,Sheet2!A:C,3,0)</f>
        <v>1405/04/29</v>
      </c>
      <c r="F165" s="1" t="str">
        <f>VLOOKUP(A165,Sheet2!A:D,4,0)</f>
        <v>1405/07/29</v>
      </c>
      <c r="G165" s="1" t="str">
        <f>VLOOKUP(A165,Sheet2!A:B,2,0)</f>
        <v>Shaghayegh</v>
      </c>
      <c r="H165" s="5">
        <f>VLOOKUP(A165,Sheet2!A:E,5,0)</f>
        <v>68000000</v>
      </c>
    </row>
    <row r="166" spans="1:8" x14ac:dyDescent="0.3">
      <c r="A166" s="1" t="s">
        <v>682</v>
      </c>
      <c r="B166" s="1" t="s">
        <v>687</v>
      </c>
      <c r="C166" s="1" t="s">
        <v>688</v>
      </c>
      <c r="D166" s="1" t="s">
        <v>689</v>
      </c>
      <c r="E166" s="1" t="str">
        <f>VLOOKUP(A166,Sheet2!A:C,3,0)</f>
        <v>1405/04/29</v>
      </c>
      <c r="F166" s="1" t="str">
        <f>VLOOKUP(A166,Sheet2!A:D,4,0)</f>
        <v>1405/07/29</v>
      </c>
      <c r="G166" s="1" t="str">
        <f>VLOOKUP(A166,Sheet2!A:B,2,0)</f>
        <v>Shaghayegh</v>
      </c>
      <c r="H166" s="5">
        <f>VLOOKUP(A166,Sheet2!A:E,5,0)</f>
        <v>68000000</v>
      </c>
    </row>
    <row r="167" spans="1:8" x14ac:dyDescent="0.3">
      <c r="A167" s="1" t="s">
        <v>682</v>
      </c>
      <c r="B167" s="1" t="s">
        <v>690</v>
      </c>
      <c r="C167" s="1" t="s">
        <v>691</v>
      </c>
      <c r="D167" s="1" t="s">
        <v>692</v>
      </c>
      <c r="E167" s="1" t="str">
        <f>VLOOKUP(A167,Sheet2!A:C,3,0)</f>
        <v>1405/04/29</v>
      </c>
      <c r="F167" s="1" t="str">
        <f>VLOOKUP(A167,Sheet2!A:D,4,0)</f>
        <v>1405/07/29</v>
      </c>
      <c r="G167" s="1" t="str">
        <f>VLOOKUP(A167,Sheet2!A:B,2,0)</f>
        <v>Shaghayegh</v>
      </c>
      <c r="H167" s="5">
        <f>VLOOKUP(A167,Sheet2!A:E,5,0)</f>
        <v>68000000</v>
      </c>
    </row>
    <row r="168" spans="1:8" x14ac:dyDescent="0.3">
      <c r="A168" s="1" t="s">
        <v>693</v>
      </c>
      <c r="B168" s="1" t="s">
        <v>694</v>
      </c>
      <c r="C168" s="1" t="s">
        <v>695</v>
      </c>
      <c r="D168" s="1" t="s">
        <v>696</v>
      </c>
      <c r="E168" s="1" t="e">
        <f>VLOOKUP(A168,Sheet2!A:C,3,0)</f>
        <v>#N/A</v>
      </c>
      <c r="F168" s="1" t="e">
        <f>VLOOKUP(A168,Sheet2!A:D,4,0)</f>
        <v>#N/A</v>
      </c>
      <c r="G168" s="1" t="e">
        <f>VLOOKUP(A168,Sheet2!A:B,2,0)</f>
        <v>#N/A</v>
      </c>
      <c r="H168" s="5" t="e">
        <f>VLOOKUP(A168,Sheet2!A:E,5,0)</f>
        <v>#N/A</v>
      </c>
    </row>
    <row r="169" spans="1:8" x14ac:dyDescent="0.3">
      <c r="A169" s="1" t="s">
        <v>697</v>
      </c>
      <c r="B169" s="1" t="s">
        <v>698</v>
      </c>
      <c r="C169" s="1" t="s">
        <v>699</v>
      </c>
      <c r="D169" s="1" t="s">
        <v>700</v>
      </c>
      <c r="E169" s="1" t="e">
        <f>VLOOKUP(A169,Sheet2!A:C,3,0)</f>
        <v>#N/A</v>
      </c>
      <c r="F169" s="1" t="e">
        <f>VLOOKUP(A169,Sheet2!A:D,4,0)</f>
        <v>#N/A</v>
      </c>
      <c r="G169" s="1" t="e">
        <f>VLOOKUP(A169,Sheet2!A:B,2,0)</f>
        <v>#N/A</v>
      </c>
      <c r="H169" s="5" t="e">
        <f>VLOOKUP(A169,Sheet2!A:E,5,0)</f>
        <v>#N/A</v>
      </c>
    </row>
    <row r="170" spans="1:8" x14ac:dyDescent="0.3">
      <c r="A170" s="1" t="s">
        <v>697</v>
      </c>
      <c r="B170" s="1" t="s">
        <v>701</v>
      </c>
      <c r="C170" s="1" t="s">
        <v>702</v>
      </c>
      <c r="D170" s="1" t="s">
        <v>703</v>
      </c>
      <c r="E170" s="1" t="e">
        <f>VLOOKUP(A170,Sheet2!A:C,3,0)</f>
        <v>#N/A</v>
      </c>
      <c r="F170" s="1" t="e">
        <f>VLOOKUP(A170,Sheet2!A:D,4,0)</f>
        <v>#N/A</v>
      </c>
      <c r="G170" s="1" t="e">
        <f>VLOOKUP(A170,Sheet2!A:B,2,0)</f>
        <v>#N/A</v>
      </c>
      <c r="H170" s="5" t="e">
        <f>VLOOKUP(A170,Sheet2!A:E,5,0)</f>
        <v>#N/A</v>
      </c>
    </row>
    <row r="171" spans="1:8" x14ac:dyDescent="0.3">
      <c r="A171" s="1" t="s">
        <v>697</v>
      </c>
      <c r="B171" s="1" t="s">
        <v>704</v>
      </c>
      <c r="C171" s="1" t="s">
        <v>705</v>
      </c>
      <c r="D171" s="1" t="s">
        <v>706</v>
      </c>
      <c r="E171" s="1" t="e">
        <f>VLOOKUP(A171,Sheet2!A:C,3,0)</f>
        <v>#N/A</v>
      </c>
      <c r="F171" s="1" t="e">
        <f>VLOOKUP(A171,Sheet2!A:D,4,0)</f>
        <v>#N/A</v>
      </c>
      <c r="G171" s="1" t="e">
        <f>VLOOKUP(A171,Sheet2!A:B,2,0)</f>
        <v>#N/A</v>
      </c>
      <c r="H171" s="5" t="e">
        <f>VLOOKUP(A171,Sheet2!A:E,5,0)</f>
        <v>#N/A</v>
      </c>
    </row>
    <row r="172" spans="1:8" x14ac:dyDescent="0.3">
      <c r="A172" s="1" t="s">
        <v>697</v>
      </c>
      <c r="B172" s="1" t="s">
        <v>707</v>
      </c>
      <c r="C172" s="1" t="s">
        <v>708</v>
      </c>
      <c r="D172" s="1" t="s">
        <v>709</v>
      </c>
      <c r="E172" s="1" t="e">
        <f>VLOOKUP(A172,Sheet2!A:C,3,0)</f>
        <v>#N/A</v>
      </c>
      <c r="F172" s="1" t="e">
        <f>VLOOKUP(A172,Sheet2!A:D,4,0)</f>
        <v>#N/A</v>
      </c>
      <c r="G172" s="1" t="e">
        <f>VLOOKUP(A172,Sheet2!A:B,2,0)</f>
        <v>#N/A</v>
      </c>
      <c r="H172" s="5" t="e">
        <f>VLOOKUP(A172,Sheet2!A:E,5,0)</f>
        <v>#N/A</v>
      </c>
    </row>
    <row r="173" spans="1:8" x14ac:dyDescent="0.3">
      <c r="A173" s="1" t="s">
        <v>697</v>
      </c>
      <c r="B173" s="1" t="s">
        <v>710</v>
      </c>
      <c r="C173" s="1" t="s">
        <v>711</v>
      </c>
      <c r="D173" s="1" t="s">
        <v>712</v>
      </c>
      <c r="E173" s="1" t="e">
        <f>VLOOKUP(A173,Sheet2!A:C,3,0)</f>
        <v>#N/A</v>
      </c>
      <c r="F173" s="1" t="e">
        <f>VLOOKUP(A173,Sheet2!A:D,4,0)</f>
        <v>#N/A</v>
      </c>
      <c r="G173" s="1" t="e">
        <f>VLOOKUP(A173,Sheet2!A:B,2,0)</f>
        <v>#N/A</v>
      </c>
      <c r="H173" s="5" t="e">
        <f>VLOOKUP(A173,Sheet2!A:E,5,0)</f>
        <v>#N/A</v>
      </c>
    </row>
    <row r="174" spans="1:8" x14ac:dyDescent="0.3">
      <c r="A174" s="1" t="s">
        <v>713</v>
      </c>
      <c r="B174" s="1" t="s">
        <v>714</v>
      </c>
      <c r="C174" s="1" t="s">
        <v>715</v>
      </c>
      <c r="D174" s="1" t="s">
        <v>716</v>
      </c>
      <c r="E174" s="1" t="e">
        <f>VLOOKUP(A174,Sheet2!A:C,3,0)</f>
        <v>#N/A</v>
      </c>
      <c r="F174" s="1" t="e">
        <f>VLOOKUP(A174,Sheet2!A:D,4,0)</f>
        <v>#N/A</v>
      </c>
      <c r="G174" s="1" t="e">
        <f>VLOOKUP(A174,Sheet2!A:B,2,0)</f>
        <v>#N/A</v>
      </c>
      <c r="H174" s="5" t="e">
        <f>VLOOKUP(A174,Sheet2!A:E,5,0)</f>
        <v>#N/A</v>
      </c>
    </row>
    <row r="175" spans="1:8" x14ac:dyDescent="0.3">
      <c r="A175" s="1" t="s">
        <v>713</v>
      </c>
      <c r="B175" s="1" t="s">
        <v>717</v>
      </c>
      <c r="C175" s="1" t="s">
        <v>718</v>
      </c>
      <c r="D175" s="1" t="s">
        <v>719</v>
      </c>
      <c r="E175" s="1" t="e">
        <f>VLOOKUP(A175,Sheet2!A:C,3,0)</f>
        <v>#N/A</v>
      </c>
      <c r="F175" s="1" t="e">
        <f>VLOOKUP(A175,Sheet2!A:D,4,0)</f>
        <v>#N/A</v>
      </c>
      <c r="G175" s="1" t="e">
        <f>VLOOKUP(A175,Sheet2!A:B,2,0)</f>
        <v>#N/A</v>
      </c>
      <c r="H175" s="5" t="e">
        <f>VLOOKUP(A175,Sheet2!A:E,5,0)</f>
        <v>#N/A</v>
      </c>
    </row>
    <row r="176" spans="1:8" x14ac:dyDescent="0.3">
      <c r="A176" s="1" t="s">
        <v>713</v>
      </c>
      <c r="B176" s="1" t="s">
        <v>720</v>
      </c>
      <c r="C176" s="1" t="s">
        <v>721</v>
      </c>
      <c r="D176" s="1" t="s">
        <v>722</v>
      </c>
      <c r="E176" s="1" t="e">
        <f>VLOOKUP(A176,Sheet2!A:C,3,0)</f>
        <v>#N/A</v>
      </c>
      <c r="F176" s="1" t="e">
        <f>VLOOKUP(A176,Sheet2!A:D,4,0)</f>
        <v>#N/A</v>
      </c>
      <c r="G176" s="1" t="e">
        <f>VLOOKUP(A176,Sheet2!A:B,2,0)</f>
        <v>#N/A</v>
      </c>
      <c r="H176" s="5" t="e">
        <f>VLOOKUP(A176,Sheet2!A:E,5,0)</f>
        <v>#N/A</v>
      </c>
    </row>
    <row r="177" spans="1:8" x14ac:dyDescent="0.3">
      <c r="A177" s="1" t="s">
        <v>713</v>
      </c>
      <c r="B177" s="1" t="s">
        <v>723</v>
      </c>
      <c r="C177" s="1" t="s">
        <v>724</v>
      </c>
      <c r="D177" s="1" t="s">
        <v>725</v>
      </c>
      <c r="E177" s="1" t="e">
        <f>VLOOKUP(A177,Sheet2!A:C,3,0)</f>
        <v>#N/A</v>
      </c>
      <c r="F177" s="1" t="e">
        <f>VLOOKUP(A177,Sheet2!A:D,4,0)</f>
        <v>#N/A</v>
      </c>
      <c r="G177" s="1" t="e">
        <f>VLOOKUP(A177,Sheet2!A:B,2,0)</f>
        <v>#N/A</v>
      </c>
      <c r="H177" s="5" t="e">
        <f>VLOOKUP(A177,Sheet2!A:E,5,0)</f>
        <v>#N/A</v>
      </c>
    </row>
    <row r="178" spans="1:8" x14ac:dyDescent="0.3">
      <c r="A178" s="1" t="s">
        <v>726</v>
      </c>
      <c r="B178" s="1" t="s">
        <v>727</v>
      </c>
      <c r="C178" s="1" t="s">
        <v>728</v>
      </c>
      <c r="D178" s="1" t="s">
        <v>729</v>
      </c>
      <c r="E178" s="1" t="str">
        <f>VLOOKUP(A178,Sheet2!A:C,3,0)</f>
        <v>1405/06/09</v>
      </c>
      <c r="F178" s="1" t="str">
        <f>VLOOKUP(A178,Sheet2!A:D,4,0)</f>
        <v>1405/09/09</v>
      </c>
      <c r="G178" s="1" t="str">
        <f>VLOOKUP(A178,Sheet2!A:B,2,0)</f>
        <v>Sanam</v>
      </c>
      <c r="H178" s="5">
        <f>VLOOKUP(A178,Sheet2!A:E,5,0)</f>
        <v>33000000</v>
      </c>
    </row>
    <row r="179" spans="1:8" x14ac:dyDescent="0.3">
      <c r="A179" s="1" t="s">
        <v>730</v>
      </c>
      <c r="B179" s="1" t="s">
        <v>731</v>
      </c>
      <c r="C179" s="1" t="s">
        <v>732</v>
      </c>
      <c r="D179" s="1" t="s">
        <v>733</v>
      </c>
      <c r="E179" s="1" t="str">
        <f>VLOOKUP(A179,Sheet2!A:C,3,0)</f>
        <v>1405/04/17</v>
      </c>
      <c r="F179" s="1" t="str">
        <f>VLOOKUP(A179,Sheet2!A:D,4,0)</f>
        <v>1405/07/17</v>
      </c>
      <c r="G179" s="1" t="str">
        <f>VLOOKUP(A179,Sheet2!A:B,2,0)</f>
        <v>Sanam</v>
      </c>
      <c r="H179" s="5">
        <f>VLOOKUP(A179,Sheet2!A:E,5,0)</f>
        <v>1450000000</v>
      </c>
    </row>
    <row r="180" spans="1:8" x14ac:dyDescent="0.3">
      <c r="A180" s="1" t="s">
        <v>730</v>
      </c>
      <c r="B180" s="1" t="s">
        <v>734</v>
      </c>
      <c r="C180" s="1" t="s">
        <v>735</v>
      </c>
      <c r="D180" s="1" t="s">
        <v>736</v>
      </c>
      <c r="E180" s="1" t="str">
        <f>VLOOKUP(A180,Sheet2!A:C,3,0)</f>
        <v>1405/04/17</v>
      </c>
      <c r="F180" s="1" t="str">
        <f>VLOOKUP(A180,Sheet2!A:D,4,0)</f>
        <v>1405/07/17</v>
      </c>
      <c r="G180" s="1" t="str">
        <f>VLOOKUP(A180,Sheet2!A:B,2,0)</f>
        <v>Sanam</v>
      </c>
      <c r="H180" s="5">
        <f>VLOOKUP(A180,Sheet2!A:E,5,0)</f>
        <v>1450000000</v>
      </c>
    </row>
    <row r="181" spans="1:8" x14ac:dyDescent="0.3">
      <c r="A181" s="1" t="s">
        <v>737</v>
      </c>
      <c r="B181" s="1" t="s">
        <v>738</v>
      </c>
      <c r="C181" s="1" t="s">
        <v>739</v>
      </c>
      <c r="D181" s="1" t="s">
        <v>740</v>
      </c>
      <c r="E181" s="1" t="str">
        <f>VLOOKUP(A181,Sheet2!A:C,3,0)</f>
        <v>1405/03/17</v>
      </c>
      <c r="F181" s="1" t="str">
        <f>VLOOKUP(A181,Sheet2!A:D,4,0)</f>
        <v>1405/06/17</v>
      </c>
      <c r="G181" s="1" t="str">
        <f>VLOOKUP(A181,Sheet2!A:B,2,0)</f>
        <v>shahrzad</v>
      </c>
      <c r="H181" s="5">
        <f>VLOOKUP(A181,Sheet2!A:E,5,0)</f>
        <v>45000000</v>
      </c>
    </row>
    <row r="182" spans="1:8" x14ac:dyDescent="0.3">
      <c r="A182" s="1" t="s">
        <v>743</v>
      </c>
      <c r="B182" s="1" t="s">
        <v>743</v>
      </c>
      <c r="C182" s="1" t="s">
        <v>744</v>
      </c>
      <c r="D182" s="1" t="s">
        <v>745</v>
      </c>
      <c r="E182" s="1" t="str">
        <f>VLOOKUP(A182,Sheet2!A:C,3,0)</f>
        <v>1405/06/14</v>
      </c>
      <c r="F182" s="1" t="str">
        <f>VLOOKUP(A182,Sheet2!A:D,4,0)</f>
        <v>1405/09/14</v>
      </c>
      <c r="G182" s="1" t="str">
        <f>VLOOKUP(A182,Sheet2!A:B,2,0)</f>
        <v>Sara</v>
      </c>
      <c r="H182" s="5">
        <f>VLOOKUP(A182,Sheet2!A:E,5,0)</f>
        <v>52000000</v>
      </c>
    </row>
    <row r="183" spans="1:8" x14ac:dyDescent="0.3">
      <c r="A183" s="1" t="s">
        <v>747</v>
      </c>
      <c r="B183" s="1" t="s">
        <v>748</v>
      </c>
      <c r="C183" s="1" t="s">
        <v>749</v>
      </c>
      <c r="D183" s="1" t="s">
        <v>750</v>
      </c>
      <c r="E183" s="1" t="str">
        <f>VLOOKUP(A183,Sheet2!A:C,3,0)</f>
        <v>1405/06/10</v>
      </c>
      <c r="F183" s="1" t="str">
        <f>VLOOKUP(A183,Sheet2!A:D,4,0)</f>
        <v>1405/09/10</v>
      </c>
      <c r="G183" s="1" t="str">
        <f>VLOOKUP(A183,Sheet2!A:B,2,0)</f>
        <v>Naser</v>
      </c>
      <c r="H183" s="5">
        <f>VLOOKUP(A183,Sheet2!A:E,5,0)</f>
        <v>80000000</v>
      </c>
    </row>
    <row r="184" spans="1:8" x14ac:dyDescent="0.3">
      <c r="A184" s="1" t="s">
        <v>751</v>
      </c>
      <c r="B184" s="1" t="s">
        <v>752</v>
      </c>
      <c r="C184" s="1" t="s">
        <v>753</v>
      </c>
      <c r="D184" s="1" t="s">
        <v>754</v>
      </c>
      <c r="E184" s="1" t="str">
        <f>VLOOKUP(A184,Sheet2!A:C,3,0)</f>
        <v>1405/04/16</v>
      </c>
      <c r="F184" s="1" t="str">
        <f>VLOOKUP(A184,Sheet2!A:D,4,0)</f>
        <v>1405/07/16</v>
      </c>
      <c r="G184" s="1" t="str">
        <f>VLOOKUP(A184,Sheet2!A:B,2,0)</f>
        <v>Sanam</v>
      </c>
      <c r="H184" s="5">
        <f>VLOOKUP(A184,Sheet2!A:E,5,0)</f>
        <v>66000000</v>
      </c>
    </row>
    <row r="185" spans="1:8" x14ac:dyDescent="0.3">
      <c r="A185" s="1" t="s">
        <v>755</v>
      </c>
      <c r="B185" s="1" t="s">
        <v>755</v>
      </c>
      <c r="C185" s="1" t="s">
        <v>756</v>
      </c>
      <c r="D185" s="1" t="s">
        <v>757</v>
      </c>
      <c r="E185" s="1" t="str">
        <f>VLOOKUP(A185,Sheet2!A:C,3,0)</f>
        <v>1405/04/16</v>
      </c>
      <c r="F185" s="1" t="str">
        <f>VLOOKUP(A185,Sheet2!A:D,4,0)</f>
        <v>1405/07/26</v>
      </c>
      <c r="G185" s="1" t="str">
        <f>VLOOKUP(A185,Sheet2!A:B,2,0)</f>
        <v>Sara</v>
      </c>
      <c r="H185" s="5">
        <f>VLOOKUP(A185,Sheet2!A:E,5,0)</f>
        <v>78000000</v>
      </c>
    </row>
    <row r="186" spans="1:8" x14ac:dyDescent="0.3">
      <c r="A186" s="1" t="s">
        <v>758</v>
      </c>
      <c r="B186" s="1" t="s">
        <v>759</v>
      </c>
      <c r="C186" s="1" t="s">
        <v>760</v>
      </c>
      <c r="D186" s="1" t="s">
        <v>761</v>
      </c>
      <c r="E186" s="1" t="str">
        <f>VLOOKUP(A186,Sheet2!A:C,3,0)</f>
        <v>1405/04/16</v>
      </c>
      <c r="F186" s="1" t="str">
        <f>VLOOKUP(A186,Sheet2!A:D,4,0)</f>
        <v>1405/07/26</v>
      </c>
      <c r="G186" s="1" t="str">
        <f>VLOOKUP(A186,Sheet2!A:B,2,0)</f>
        <v>Sanam</v>
      </c>
      <c r="H186" s="5">
        <f>VLOOKUP(A186,Sheet2!A:E,5,0)</f>
        <v>35000000</v>
      </c>
    </row>
    <row r="187" spans="1:8" x14ac:dyDescent="0.3">
      <c r="A187" s="1" t="s">
        <v>762</v>
      </c>
      <c r="B187" s="1" t="s">
        <v>762</v>
      </c>
      <c r="C187" s="1" t="s">
        <v>763</v>
      </c>
      <c r="D187" s="1" t="s">
        <v>764</v>
      </c>
      <c r="E187" s="1" t="str">
        <f>VLOOKUP(A187,Sheet2!A:C,3,0)</f>
        <v>1405/05/26</v>
      </c>
      <c r="F187" s="1" t="str">
        <f>VLOOKUP(A187,Sheet2!A:D,4,0)</f>
        <v>1405/08/26</v>
      </c>
      <c r="G187" s="1" t="str">
        <f>VLOOKUP(A187,Sheet2!A:B,2,0)</f>
        <v>Elie</v>
      </c>
      <c r="H187" s="5">
        <f>VLOOKUP(A187,Sheet2!A:E,5,0)</f>
        <v>25000000</v>
      </c>
    </row>
    <row r="188" spans="1:8" x14ac:dyDescent="0.3">
      <c r="A188" s="1" t="s">
        <v>765</v>
      </c>
      <c r="B188" s="1" t="s">
        <v>766</v>
      </c>
      <c r="C188" s="1" t="s">
        <v>767</v>
      </c>
      <c r="D188" s="1" t="s">
        <v>768</v>
      </c>
      <c r="E188" s="1" t="str">
        <f>VLOOKUP(A188,Sheet2!A:C,3,0)</f>
        <v>1405/05/03</v>
      </c>
      <c r="F188" s="1" t="str">
        <f>VLOOKUP(A188,Sheet2!A:D,4,0)</f>
        <v>1405/08/03</v>
      </c>
      <c r="G188" s="1" t="str">
        <f>VLOOKUP(A188,Sheet2!A:B,2,0)</f>
        <v>Shahrzad</v>
      </c>
      <c r="H188" s="5">
        <f>VLOOKUP(A188,Sheet2!A:E,5,0)</f>
        <v>66000000</v>
      </c>
    </row>
    <row r="189" spans="1:8" x14ac:dyDescent="0.3">
      <c r="A189" s="1" t="s">
        <v>769</v>
      </c>
      <c r="B189" s="1" t="s">
        <v>770</v>
      </c>
      <c r="C189" s="1" t="s">
        <v>771</v>
      </c>
      <c r="D189" s="1" t="s">
        <v>772</v>
      </c>
      <c r="E189" s="1" t="str">
        <f>VLOOKUP(A189,Sheet2!A:C,3,0)</f>
        <v>1405/04/24</v>
      </c>
      <c r="F189" s="1" t="str">
        <f>VLOOKUP(A189,Sheet2!A:D,4,0)</f>
        <v>1405/07/24</v>
      </c>
      <c r="G189" s="1" t="str">
        <f>VLOOKUP(A189,Sheet2!A:B,2,0)</f>
        <v>Shahrzad</v>
      </c>
      <c r="H189" s="5">
        <f>VLOOKUP(A189,Sheet2!A:E,5,0)</f>
        <v>115000000</v>
      </c>
    </row>
    <row r="190" spans="1:8" x14ac:dyDescent="0.3">
      <c r="A190" s="1" t="s">
        <v>773</v>
      </c>
      <c r="B190" s="1" t="s">
        <v>774</v>
      </c>
      <c r="C190" s="1" t="s">
        <v>775</v>
      </c>
      <c r="D190" s="1" t="s">
        <v>776</v>
      </c>
      <c r="E190" s="1" t="str">
        <f>VLOOKUP(A190,Sheet2!A:C,3,0)</f>
        <v>1405/06/07</v>
      </c>
      <c r="F190" s="1" t="str">
        <f>VLOOKUP(A190,Sheet2!A:D,4,0)</f>
        <v>1405/09/07</v>
      </c>
      <c r="G190" s="1" t="str">
        <f>VLOOKUP(A190,Sheet2!A:B,2,0)</f>
        <v>Sanam</v>
      </c>
      <c r="H190" s="5">
        <f>VLOOKUP(A190,Sheet2!A:E,5,0)</f>
        <v>80000000</v>
      </c>
    </row>
    <row r="191" spans="1:8" x14ac:dyDescent="0.3">
      <c r="A191" s="1" t="s">
        <v>777</v>
      </c>
      <c r="B191" s="1" t="s">
        <v>777</v>
      </c>
      <c r="C191" s="1" t="s">
        <v>778</v>
      </c>
      <c r="D191" s="1" t="s">
        <v>779</v>
      </c>
      <c r="E191" s="1" t="str">
        <f>VLOOKUP(A191,Sheet2!A:C,3,0)</f>
        <v>1405/02/21</v>
      </c>
      <c r="F191" s="1" t="str">
        <f>VLOOKUP(A191,Sheet2!A:D,4,0)</f>
        <v>1405/05/21</v>
      </c>
      <c r="G191" s="1" t="str">
        <f>VLOOKUP(A191,Sheet2!A:B,2,0)</f>
        <v>Shahrzad</v>
      </c>
      <c r="H191" s="5">
        <f>VLOOKUP(A191,Sheet2!A:E,5,0)</f>
        <v>33000000</v>
      </c>
    </row>
    <row r="192" spans="1:8" x14ac:dyDescent="0.3">
      <c r="A192" s="1" t="s">
        <v>780</v>
      </c>
      <c r="B192" s="1" t="s">
        <v>781</v>
      </c>
      <c r="C192" s="1" t="s">
        <v>782</v>
      </c>
      <c r="D192" s="1" t="s">
        <v>783</v>
      </c>
      <c r="E192" s="1" t="e">
        <f>VLOOKUP(A192,Sheet2!A:C,3,0)</f>
        <v>#N/A</v>
      </c>
      <c r="F192" s="1" t="e">
        <f>VLOOKUP(A192,Sheet2!A:D,4,0)</f>
        <v>#N/A</v>
      </c>
      <c r="G192" s="1" t="e">
        <f>VLOOKUP(A192,Sheet2!A:B,2,0)</f>
        <v>#N/A</v>
      </c>
      <c r="H192" s="5" t="e">
        <f>VLOOKUP(A192,Sheet2!A:E,5,0)</f>
        <v>#N/A</v>
      </c>
    </row>
    <row r="193" spans="1:8" x14ac:dyDescent="0.3">
      <c r="A193" s="1" t="s">
        <v>780</v>
      </c>
      <c r="B193" s="1" t="s">
        <v>784</v>
      </c>
      <c r="C193" s="1" t="s">
        <v>785</v>
      </c>
      <c r="D193" s="1" t="s">
        <v>786</v>
      </c>
      <c r="E193" s="1" t="e">
        <f>VLOOKUP(A193,Sheet2!A:C,3,0)</f>
        <v>#N/A</v>
      </c>
      <c r="F193" s="1" t="e">
        <f>VLOOKUP(A193,Sheet2!A:D,4,0)</f>
        <v>#N/A</v>
      </c>
      <c r="G193" s="1" t="e">
        <f>VLOOKUP(A193,Sheet2!A:B,2,0)</f>
        <v>#N/A</v>
      </c>
      <c r="H193" s="5" t="e">
        <f>VLOOKUP(A193,Sheet2!A:E,5,0)</f>
        <v>#N/A</v>
      </c>
    </row>
    <row r="194" spans="1:8" x14ac:dyDescent="0.3">
      <c r="A194" s="1" t="s">
        <v>787</v>
      </c>
      <c r="B194" s="1" t="s">
        <v>787</v>
      </c>
      <c r="C194" s="1" t="s">
        <v>788</v>
      </c>
      <c r="D194" s="1" t="s">
        <v>789</v>
      </c>
      <c r="E194" s="1" t="str">
        <f>VLOOKUP(A194,Sheet2!A:C,3,0)</f>
        <v>1405/06/03</v>
      </c>
      <c r="F194" s="1" t="str">
        <f>VLOOKUP(A194,Sheet2!A:D,4,0)</f>
        <v>1405/09/03</v>
      </c>
      <c r="G194" s="1" t="str">
        <f>VLOOKUP(A194,Sheet2!A:B,2,0)</f>
        <v>Sanam</v>
      </c>
      <c r="H194" s="5">
        <f>VLOOKUP(A194,Sheet2!A:E,5,0)</f>
        <v>175000000</v>
      </c>
    </row>
    <row r="195" spans="1:8" x14ac:dyDescent="0.3">
      <c r="A195" s="1" t="s">
        <v>787</v>
      </c>
      <c r="B195" s="1" t="s">
        <v>790</v>
      </c>
      <c r="C195" s="1" t="s">
        <v>791</v>
      </c>
      <c r="D195" s="1" t="s">
        <v>792</v>
      </c>
      <c r="E195" s="1" t="str">
        <f>VLOOKUP(A195,Sheet2!A:C,3,0)</f>
        <v>1405/06/03</v>
      </c>
      <c r="F195" s="1" t="str">
        <f>VLOOKUP(A195,Sheet2!A:D,4,0)</f>
        <v>1405/09/03</v>
      </c>
      <c r="G195" s="1" t="str">
        <f>VLOOKUP(A195,Sheet2!A:B,2,0)</f>
        <v>Sanam</v>
      </c>
      <c r="H195" s="5">
        <f>VLOOKUP(A195,Sheet2!A:E,5,0)</f>
        <v>175000000</v>
      </c>
    </row>
    <row r="196" spans="1:8" x14ac:dyDescent="0.3">
      <c r="A196" s="1" t="s">
        <v>793</v>
      </c>
      <c r="B196" s="1" t="s">
        <v>793</v>
      </c>
      <c r="C196" s="1" t="s">
        <v>794</v>
      </c>
      <c r="D196" s="1" t="s">
        <v>795</v>
      </c>
      <c r="E196" s="1" t="str">
        <f>VLOOKUP(A196,Sheet2!A:C,3,0)</f>
        <v>1405/02/30</v>
      </c>
      <c r="F196" s="1" t="str">
        <f>VLOOKUP(A196,Sheet2!A:D,4,0)</f>
        <v>1405/05/30</v>
      </c>
      <c r="G196" s="1" t="str">
        <f>VLOOKUP(A196,Sheet2!A:B,2,0)</f>
        <v>Shahrzad</v>
      </c>
      <c r="H196" s="5">
        <f>VLOOKUP(A196,Sheet2!A:E,5,0)</f>
        <v>44500000</v>
      </c>
    </row>
    <row r="197" spans="1:8" x14ac:dyDescent="0.3">
      <c r="A197" s="1" t="s">
        <v>796</v>
      </c>
      <c r="B197" s="1" t="s">
        <v>797</v>
      </c>
      <c r="C197" s="1" t="s">
        <v>798</v>
      </c>
      <c r="D197" s="1" t="s">
        <v>799</v>
      </c>
      <c r="E197" s="1" t="e">
        <f>VLOOKUP(A197,Sheet2!A:C,3,0)</f>
        <v>#N/A</v>
      </c>
      <c r="F197" s="1" t="e">
        <f>VLOOKUP(A197,Sheet2!A:D,4,0)</f>
        <v>#N/A</v>
      </c>
      <c r="G197" s="1" t="e">
        <f>VLOOKUP(A197,Sheet2!A:B,2,0)</f>
        <v>#N/A</v>
      </c>
      <c r="H197" s="5" t="e">
        <f>VLOOKUP(A197,Sheet2!A:E,5,0)</f>
        <v>#N/A</v>
      </c>
    </row>
    <row r="198" spans="1:8" x14ac:dyDescent="0.3">
      <c r="A198" s="1" t="s">
        <v>800</v>
      </c>
      <c r="B198" s="1" t="s">
        <v>801</v>
      </c>
      <c r="C198" s="1" t="s">
        <v>802</v>
      </c>
      <c r="D198" s="1" t="s">
        <v>803</v>
      </c>
      <c r="E198" s="1" t="e">
        <f>VLOOKUP(A198,Sheet2!A:C,3,0)</f>
        <v>#N/A</v>
      </c>
      <c r="F198" s="1" t="e">
        <f>VLOOKUP(A198,Sheet2!A:D,4,0)</f>
        <v>#N/A</v>
      </c>
      <c r="G198" s="1" t="e">
        <f>VLOOKUP(A198,Sheet2!A:B,2,0)</f>
        <v>#N/A</v>
      </c>
      <c r="H198" s="5" t="e">
        <f>VLOOKUP(A198,Sheet2!A:E,5,0)</f>
        <v>#N/A</v>
      </c>
    </row>
    <row r="199" spans="1:8" x14ac:dyDescent="0.3">
      <c r="A199" s="1" t="s">
        <v>804</v>
      </c>
      <c r="B199" s="1" t="s">
        <v>805</v>
      </c>
      <c r="C199" s="1" t="s">
        <v>806</v>
      </c>
      <c r="D199" s="1" t="s">
        <v>807</v>
      </c>
      <c r="E199" s="1" t="str">
        <f>VLOOKUP(A199,Sheet2!A:C,3,0)</f>
        <v>1405/06/16</v>
      </c>
      <c r="F199" s="1" t="str">
        <f>VLOOKUP(A199,Sheet2!A:D,4,0)</f>
        <v>1405/09/16</v>
      </c>
      <c r="G199" s="1" t="str">
        <f>VLOOKUP(A199,Sheet2!A:B,2,0)</f>
        <v>Sanam</v>
      </c>
      <c r="H199" s="5">
        <f>VLOOKUP(A199,Sheet2!A:E,5,0)</f>
        <v>30000000</v>
      </c>
    </row>
    <row r="200" spans="1:8" x14ac:dyDescent="0.3">
      <c r="A200" s="1" t="s">
        <v>804</v>
      </c>
      <c r="B200" s="1" t="s">
        <v>808</v>
      </c>
      <c r="C200" s="1" t="s">
        <v>809</v>
      </c>
      <c r="D200" s="1" t="s">
        <v>810</v>
      </c>
      <c r="E200" s="1" t="str">
        <f>VLOOKUP(A200,Sheet2!A:C,3,0)</f>
        <v>1405/06/16</v>
      </c>
      <c r="F200" s="1" t="str">
        <f>VLOOKUP(A200,Sheet2!A:D,4,0)</f>
        <v>1405/09/16</v>
      </c>
      <c r="G200" s="1" t="str">
        <f>VLOOKUP(A200,Sheet2!A:B,2,0)</f>
        <v>Sanam</v>
      </c>
      <c r="H200" s="5">
        <f>VLOOKUP(A200,Sheet2!A:E,5,0)</f>
        <v>30000000</v>
      </c>
    </row>
    <row r="201" spans="1:8" x14ac:dyDescent="0.3">
      <c r="A201" s="1" t="s">
        <v>811</v>
      </c>
      <c r="B201" s="1" t="s">
        <v>812</v>
      </c>
      <c r="C201" s="1" t="s">
        <v>813</v>
      </c>
      <c r="D201" s="1" t="s">
        <v>814</v>
      </c>
      <c r="E201" s="1" t="e">
        <f>VLOOKUP(A201,Sheet2!A:C,3,0)</f>
        <v>#N/A</v>
      </c>
      <c r="F201" s="1" t="e">
        <f>VLOOKUP(A201,Sheet2!A:D,4,0)</f>
        <v>#N/A</v>
      </c>
      <c r="G201" s="1" t="e">
        <f>VLOOKUP(A201,Sheet2!A:B,2,0)</f>
        <v>#N/A</v>
      </c>
      <c r="H201" s="5" t="e">
        <f>VLOOKUP(A201,Sheet2!A:E,5,0)</f>
        <v>#N/A</v>
      </c>
    </row>
    <row r="202" spans="1:8" x14ac:dyDescent="0.3">
      <c r="A202" s="1" t="s">
        <v>815</v>
      </c>
      <c r="B202" s="1" t="s">
        <v>815</v>
      </c>
      <c r="C202" s="1" t="s">
        <v>816</v>
      </c>
      <c r="D202" s="1" t="s">
        <v>817</v>
      </c>
      <c r="E202" s="1" t="e">
        <f>VLOOKUP(A202,Sheet2!A:C,3,0)</f>
        <v>#N/A</v>
      </c>
      <c r="F202" s="1" t="e">
        <f>VLOOKUP(A202,Sheet2!A:D,4,0)</f>
        <v>#N/A</v>
      </c>
      <c r="G202" s="1" t="e">
        <f>VLOOKUP(A202,Sheet2!A:B,2,0)</f>
        <v>#N/A</v>
      </c>
      <c r="H202" s="5" t="e">
        <f>VLOOKUP(A202,Sheet2!A:E,5,0)</f>
        <v>#N/A</v>
      </c>
    </row>
    <row r="203" spans="1:8" x14ac:dyDescent="0.3">
      <c r="A203" s="1" t="s">
        <v>818</v>
      </c>
      <c r="B203" s="1" t="s">
        <v>818</v>
      </c>
      <c r="C203" s="1" t="s">
        <v>819</v>
      </c>
      <c r="D203" s="1" t="s">
        <v>820</v>
      </c>
      <c r="E203" s="1" t="e">
        <f>VLOOKUP(A203,Sheet2!A:C,3,0)</f>
        <v>#N/A</v>
      </c>
      <c r="F203" s="1" t="e">
        <f>VLOOKUP(A203,Sheet2!A:D,4,0)</f>
        <v>#N/A</v>
      </c>
      <c r="G203" s="1" t="e">
        <f>VLOOKUP(A203,Sheet2!A:B,2,0)</f>
        <v>#N/A</v>
      </c>
      <c r="H203" s="5" t="e">
        <f>VLOOKUP(A203,Sheet2!A:E,5,0)</f>
        <v>#N/A</v>
      </c>
    </row>
    <row r="204" spans="1:8" x14ac:dyDescent="0.3">
      <c r="A204" s="1" t="s">
        <v>821</v>
      </c>
      <c r="B204" s="1" t="s">
        <v>821</v>
      </c>
      <c r="C204" s="1" t="s">
        <v>822</v>
      </c>
      <c r="D204" s="1" t="s">
        <v>823</v>
      </c>
      <c r="E204" s="1" t="str">
        <f>VLOOKUP(A204,Sheet2!A:C,3,0)</f>
        <v>1405/04/13</v>
      </c>
      <c r="F204" s="1" t="str">
        <f>VLOOKUP(A204,Sheet2!A:D,4,0)</f>
        <v>1405/07/13</v>
      </c>
      <c r="G204" s="1" t="str">
        <f>VLOOKUP(A204,Sheet2!A:B,2,0)</f>
        <v>Naser</v>
      </c>
      <c r="H204" s="5">
        <f>VLOOKUP(A204,Sheet2!A:E,5,0)</f>
        <v>110000000</v>
      </c>
    </row>
    <row r="205" spans="1:8" x14ac:dyDescent="0.3">
      <c r="A205" s="1" t="s">
        <v>824</v>
      </c>
      <c r="B205" s="1" t="s">
        <v>824</v>
      </c>
      <c r="C205" s="1" t="s">
        <v>825</v>
      </c>
      <c r="D205" s="1" t="s">
        <v>826</v>
      </c>
      <c r="E205" s="1" t="e">
        <f>VLOOKUP(A205,Sheet2!A:C,3,0)</f>
        <v>#N/A</v>
      </c>
      <c r="F205" s="1" t="e">
        <f>VLOOKUP(A205,Sheet2!A:D,4,0)</f>
        <v>#N/A</v>
      </c>
      <c r="G205" s="1" t="e">
        <f>VLOOKUP(A205,Sheet2!A:B,2,0)</f>
        <v>#N/A</v>
      </c>
      <c r="H205" s="5" t="e">
        <f>VLOOKUP(A205,Sheet2!A:E,5,0)</f>
        <v>#N/A</v>
      </c>
    </row>
    <row r="206" spans="1:8" x14ac:dyDescent="0.3">
      <c r="A206" s="1" t="s">
        <v>827</v>
      </c>
      <c r="B206" s="1" t="s">
        <v>828</v>
      </c>
      <c r="C206" s="1" t="s">
        <v>829</v>
      </c>
      <c r="D206" s="1" t="s">
        <v>830</v>
      </c>
      <c r="E206" s="1" t="str">
        <f>VLOOKUP(A206,Sheet2!A:C,3,0)</f>
        <v>1405/04/07</v>
      </c>
      <c r="F206" s="1" t="str">
        <f>VLOOKUP(A206,Sheet2!A:D,4,0)</f>
        <v>1405/07/07</v>
      </c>
      <c r="G206" s="1" t="str">
        <f>VLOOKUP(A206,Sheet2!A:B,2,0)</f>
        <v>Sanam</v>
      </c>
      <c r="H206" s="5">
        <f>VLOOKUP(A206,Sheet2!A:E,5,0)</f>
        <v>28400000</v>
      </c>
    </row>
    <row r="207" spans="1:8" x14ac:dyDescent="0.3">
      <c r="A207" s="1" t="s">
        <v>831</v>
      </c>
      <c r="B207" s="1" t="s">
        <v>832</v>
      </c>
      <c r="C207" s="1" t="s">
        <v>833</v>
      </c>
      <c r="D207" s="1" t="s">
        <v>834</v>
      </c>
      <c r="E207" s="1" t="e">
        <f>VLOOKUP(A207,Sheet2!A:C,3,0)</f>
        <v>#N/A</v>
      </c>
      <c r="F207" s="1" t="e">
        <f>VLOOKUP(A207,Sheet2!A:D,4,0)</f>
        <v>#N/A</v>
      </c>
      <c r="G207" s="1" t="e">
        <f>VLOOKUP(A207,Sheet2!A:B,2,0)</f>
        <v>#N/A</v>
      </c>
      <c r="H207" s="5" t="e">
        <f>VLOOKUP(A207,Sheet2!A:E,5,0)</f>
        <v>#N/A</v>
      </c>
    </row>
    <row r="208" spans="1:8" x14ac:dyDescent="0.3">
      <c r="A208" s="1" t="s">
        <v>831</v>
      </c>
      <c r="B208" s="1" t="s">
        <v>835</v>
      </c>
      <c r="C208" s="1" t="s">
        <v>836</v>
      </c>
      <c r="D208" s="1" t="s">
        <v>837</v>
      </c>
      <c r="E208" s="1" t="e">
        <f>VLOOKUP(A208,Sheet2!A:C,3,0)</f>
        <v>#N/A</v>
      </c>
      <c r="F208" s="1" t="e">
        <f>VLOOKUP(A208,Sheet2!A:D,4,0)</f>
        <v>#N/A</v>
      </c>
      <c r="G208" s="1" t="e">
        <f>VLOOKUP(A208,Sheet2!A:B,2,0)</f>
        <v>#N/A</v>
      </c>
      <c r="H208" s="5" t="e">
        <f>VLOOKUP(A208,Sheet2!A:E,5,0)</f>
        <v>#N/A</v>
      </c>
    </row>
    <row r="209" spans="1:8" x14ac:dyDescent="0.3">
      <c r="A209" s="1" t="s">
        <v>831</v>
      </c>
      <c r="B209" s="1" t="s">
        <v>838</v>
      </c>
      <c r="C209" s="1" t="s">
        <v>839</v>
      </c>
      <c r="D209" s="1" t="s">
        <v>840</v>
      </c>
      <c r="E209" s="1" t="e">
        <f>VLOOKUP(A209,Sheet2!A:C,3,0)</f>
        <v>#N/A</v>
      </c>
      <c r="F209" s="1" t="e">
        <f>VLOOKUP(A209,Sheet2!A:D,4,0)</f>
        <v>#N/A</v>
      </c>
      <c r="G209" s="1" t="e">
        <f>VLOOKUP(A209,Sheet2!A:B,2,0)</f>
        <v>#N/A</v>
      </c>
      <c r="H209" s="5" t="e">
        <f>VLOOKUP(A209,Sheet2!A:E,5,0)</f>
        <v>#N/A</v>
      </c>
    </row>
    <row r="210" spans="1:8" x14ac:dyDescent="0.3">
      <c r="A210" s="1" t="s">
        <v>841</v>
      </c>
      <c r="B210" s="1" t="s">
        <v>841</v>
      </c>
      <c r="C210" s="1" t="s">
        <v>842</v>
      </c>
      <c r="D210" s="1" t="s">
        <v>843</v>
      </c>
      <c r="E210" s="1" t="str">
        <f>VLOOKUP(A210,Sheet2!A:C,3,0)</f>
        <v>1405/03/30</v>
      </c>
      <c r="F210" s="1" t="str">
        <f>VLOOKUP(A210,Sheet2!A:D,4,0)</f>
        <v>1405/06/30</v>
      </c>
      <c r="G210" s="1" t="str">
        <f>VLOOKUP(A210,Sheet2!A:B,2,0)</f>
        <v>shahrzad</v>
      </c>
      <c r="H210" s="5">
        <f>VLOOKUP(A210,Sheet2!A:E,5,0)</f>
        <v>46200000</v>
      </c>
    </row>
    <row r="211" spans="1:8" x14ac:dyDescent="0.3">
      <c r="A211" s="1" t="s">
        <v>844</v>
      </c>
      <c r="B211" s="1" t="s">
        <v>845</v>
      </c>
      <c r="C211" s="1" t="s">
        <v>846</v>
      </c>
      <c r="D211" s="1" t="s">
        <v>847</v>
      </c>
      <c r="E211" s="1" t="str">
        <f>VLOOKUP(A211,Sheet2!A:C,3,0)</f>
        <v>1405/06/02</v>
      </c>
      <c r="F211" s="1" t="str">
        <f>VLOOKUP(A211,Sheet2!A:D,4,0)</f>
        <v>1405/09/02</v>
      </c>
      <c r="G211" s="1" t="str">
        <f>VLOOKUP(A211,Sheet2!A:B,2,0)</f>
        <v>Sanam</v>
      </c>
      <c r="H211" s="5">
        <f>VLOOKUP(A211,Sheet2!A:E,5,0)</f>
        <v>50000000</v>
      </c>
    </row>
    <row r="212" spans="1:8" x14ac:dyDescent="0.3">
      <c r="A212" s="1" t="s">
        <v>848</v>
      </c>
      <c r="B212" s="1" t="s">
        <v>848</v>
      </c>
      <c r="C212" s="1" t="s">
        <v>849</v>
      </c>
      <c r="D212" s="1" t="s">
        <v>850</v>
      </c>
      <c r="E212" s="1" t="str">
        <f>VLOOKUP(A212,Sheet2!A:C,3,0)</f>
        <v>1405/04/10</v>
      </c>
      <c r="F212" s="1" t="str">
        <f>VLOOKUP(A212,Sheet2!A:D,4,0)</f>
        <v>1405/07/10</v>
      </c>
      <c r="G212" s="1" t="str">
        <f>VLOOKUP(A212,Sheet2!A:B,2,0)</f>
        <v>Shahrzad</v>
      </c>
      <c r="H212" s="5">
        <f>VLOOKUP(A212,Sheet2!A:E,5,0)</f>
        <v>39600000</v>
      </c>
    </row>
    <row r="213" spans="1:8" x14ac:dyDescent="0.3">
      <c r="A213" s="1" t="s">
        <v>851</v>
      </c>
      <c r="B213" s="1" t="s">
        <v>852</v>
      </c>
      <c r="C213" s="1" t="s">
        <v>853</v>
      </c>
      <c r="D213" s="1" t="s">
        <v>854</v>
      </c>
      <c r="E213" s="1" t="str">
        <f>VLOOKUP(A213,Sheet2!A:C,3,0)</f>
        <v>1405/05/03</v>
      </c>
      <c r="F213" s="1" t="str">
        <f>VLOOKUP(A213,Sheet2!A:D,4,0)</f>
        <v>1405/08/03</v>
      </c>
      <c r="G213" s="1" t="str">
        <f>VLOOKUP(A213,Sheet2!A:B,2,0)</f>
        <v>Mohammad</v>
      </c>
      <c r="H213" s="5">
        <f>VLOOKUP(A213,Sheet2!A:E,5,0)</f>
        <v>42000000</v>
      </c>
    </row>
    <row r="214" spans="1:8" x14ac:dyDescent="0.3">
      <c r="A214" s="1" t="s">
        <v>855</v>
      </c>
      <c r="B214" s="1" t="s">
        <v>855</v>
      </c>
      <c r="C214" s="1" t="s">
        <v>856</v>
      </c>
      <c r="D214" s="1" t="s">
        <v>857</v>
      </c>
      <c r="E214" s="1" t="e">
        <f>VLOOKUP(A214,Sheet2!A:C,3,0)</f>
        <v>#N/A</v>
      </c>
      <c r="F214" s="1" t="e">
        <f>VLOOKUP(A214,Sheet2!A:D,4,0)</f>
        <v>#N/A</v>
      </c>
      <c r="G214" s="1" t="e">
        <f>VLOOKUP(A214,Sheet2!A:B,2,0)</f>
        <v>#N/A</v>
      </c>
      <c r="H214" s="5" t="e">
        <f>VLOOKUP(A214,Sheet2!A:E,5,0)</f>
        <v>#N/A</v>
      </c>
    </row>
    <row r="215" spans="1:8" x14ac:dyDescent="0.3">
      <c r="A215" s="1" t="s">
        <v>858</v>
      </c>
      <c r="B215" s="1" t="s">
        <v>859</v>
      </c>
      <c r="C215" s="1" t="s">
        <v>860</v>
      </c>
      <c r="D215" s="1" t="s">
        <v>861</v>
      </c>
      <c r="E215" s="1" t="e">
        <f>VLOOKUP(A215,Sheet2!A:C,3,0)</f>
        <v>#N/A</v>
      </c>
      <c r="F215" s="1" t="e">
        <f>VLOOKUP(A215,Sheet2!A:D,4,0)</f>
        <v>#N/A</v>
      </c>
      <c r="G215" s="1" t="e">
        <f>VLOOKUP(A215,Sheet2!A:B,2,0)</f>
        <v>#N/A</v>
      </c>
      <c r="H215" s="5" t="e">
        <f>VLOOKUP(A215,Sheet2!A:E,5,0)</f>
        <v>#N/A</v>
      </c>
    </row>
    <row r="216" spans="1:8" x14ac:dyDescent="0.3">
      <c r="A216" s="1" t="s">
        <v>862</v>
      </c>
      <c r="B216" s="1" t="s">
        <v>863</v>
      </c>
      <c r="C216" s="1" t="s">
        <v>864</v>
      </c>
      <c r="D216" s="1" t="s">
        <v>865</v>
      </c>
      <c r="E216" s="1" t="e">
        <f>VLOOKUP(A216,Sheet2!A:C,3,0)</f>
        <v>#N/A</v>
      </c>
      <c r="F216" s="1" t="e">
        <f>VLOOKUP(A216,Sheet2!A:D,4,0)</f>
        <v>#N/A</v>
      </c>
      <c r="G216" s="1" t="e">
        <f>VLOOKUP(A216,Sheet2!A:B,2,0)</f>
        <v>#N/A</v>
      </c>
      <c r="H216" s="5" t="e">
        <f>VLOOKUP(A216,Sheet2!A:E,5,0)</f>
        <v>#N/A</v>
      </c>
    </row>
    <row r="217" spans="1:8" x14ac:dyDescent="0.3">
      <c r="A217" s="1" t="s">
        <v>866</v>
      </c>
      <c r="B217" s="1" t="s">
        <v>866</v>
      </c>
      <c r="C217" s="1" t="s">
        <v>867</v>
      </c>
      <c r="D217" s="1" t="s">
        <v>868</v>
      </c>
      <c r="E217" s="1" t="e">
        <f>VLOOKUP(A217,Sheet2!A:C,3,0)</f>
        <v>#N/A</v>
      </c>
      <c r="F217" s="1" t="e">
        <f>VLOOKUP(A217,Sheet2!A:D,4,0)</f>
        <v>#N/A</v>
      </c>
      <c r="G217" s="1" t="e">
        <f>VLOOKUP(A217,Sheet2!A:B,2,0)</f>
        <v>#N/A</v>
      </c>
      <c r="H217" s="5" t="e">
        <f>VLOOKUP(A217,Sheet2!A:E,5,0)</f>
        <v>#N/A</v>
      </c>
    </row>
    <row r="218" spans="1:8" x14ac:dyDescent="0.3">
      <c r="F218"/>
    </row>
    <row r="219" spans="1:8" x14ac:dyDescent="0.3">
      <c r="F219"/>
    </row>
    <row r="220" spans="1:8" x14ac:dyDescent="0.3">
      <c r="F220"/>
    </row>
    <row r="221" spans="1:8" x14ac:dyDescent="0.3">
      <c r="F221"/>
    </row>
    <row r="222" spans="1:8" x14ac:dyDescent="0.3">
      <c r="F222"/>
    </row>
    <row r="223" spans="1:8" x14ac:dyDescent="0.3">
      <c r="F223"/>
    </row>
    <row r="224" spans="1:8" x14ac:dyDescent="0.3">
      <c r="F224"/>
    </row>
    <row r="225" spans="6:6" x14ac:dyDescent="0.3">
      <c r="F225"/>
    </row>
    <row r="226" spans="6:6" x14ac:dyDescent="0.3">
      <c r="F226"/>
    </row>
    <row r="227" spans="6:6" x14ac:dyDescent="0.3">
      <c r="F227"/>
    </row>
    <row r="228" spans="6:6" x14ac:dyDescent="0.3">
      <c r="F228"/>
    </row>
    <row r="229" spans="6:6" x14ac:dyDescent="0.3">
      <c r="F229"/>
    </row>
    <row r="230" spans="6:6" x14ac:dyDescent="0.3">
      <c r="F230"/>
    </row>
  </sheetData>
  <autoFilter ref="A1:H217" xr:uid="{DD574ED9-1872-4940-8F5B-200650C6928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8B8B-AE77-4EFF-923B-1ACDED99A6B3}">
  <dimension ref="A1:E176"/>
  <sheetViews>
    <sheetView topLeftCell="A167" workbookViewId="0">
      <selection activeCell="B1" sqref="B1:B1048576"/>
    </sheetView>
  </sheetViews>
  <sheetFormatPr defaultRowHeight="14.4" x14ac:dyDescent="0.3"/>
  <cols>
    <col min="1" max="1" width="22.109375" bestFit="1" customWidth="1"/>
    <col min="2" max="2" width="15.44140625" bestFit="1" customWidth="1"/>
    <col min="3" max="4" width="10.5546875" bestFit="1" customWidth="1"/>
    <col min="5" max="5" width="14.6640625" bestFit="1" customWidth="1"/>
  </cols>
  <sheetData>
    <row r="1" spans="1:5" x14ac:dyDescent="0.3">
      <c r="A1" s="27" t="s">
        <v>0</v>
      </c>
      <c r="B1" s="27" t="s">
        <v>6</v>
      </c>
      <c r="C1" s="27" t="s">
        <v>4</v>
      </c>
      <c r="D1" s="27" t="s">
        <v>5</v>
      </c>
      <c r="E1" s="27" t="s">
        <v>7</v>
      </c>
    </row>
    <row r="2" spans="1:5" x14ac:dyDescent="0.3">
      <c r="A2" s="27" t="s">
        <v>188</v>
      </c>
      <c r="B2" s="27" t="s">
        <v>55</v>
      </c>
      <c r="C2" s="27" t="s">
        <v>869</v>
      </c>
      <c r="D2" s="27" t="s">
        <v>870</v>
      </c>
      <c r="E2" s="28">
        <v>30600000</v>
      </c>
    </row>
    <row r="3" spans="1:5" x14ac:dyDescent="0.3">
      <c r="A3" s="29" t="s">
        <v>182</v>
      </c>
      <c r="B3" s="27" t="s">
        <v>871</v>
      </c>
      <c r="C3" s="27" t="s">
        <v>34</v>
      </c>
      <c r="D3" s="27" t="s">
        <v>872</v>
      </c>
      <c r="E3" s="30">
        <v>55000000</v>
      </c>
    </row>
    <row r="4" spans="1:5" x14ac:dyDescent="0.3">
      <c r="A4" s="29" t="s">
        <v>175</v>
      </c>
      <c r="B4" s="27" t="s">
        <v>873</v>
      </c>
      <c r="C4" s="27" t="s">
        <v>874</v>
      </c>
      <c r="D4" s="27" t="s">
        <v>82</v>
      </c>
      <c r="E4" s="27">
        <v>132000000</v>
      </c>
    </row>
    <row r="5" spans="1:5" x14ac:dyDescent="0.3">
      <c r="A5" s="29" t="s">
        <v>199</v>
      </c>
      <c r="B5" s="27" t="s">
        <v>141</v>
      </c>
      <c r="C5" s="27" t="s">
        <v>544</v>
      </c>
      <c r="D5" s="27" t="s">
        <v>875</v>
      </c>
      <c r="E5" s="27">
        <v>20000000</v>
      </c>
    </row>
    <row r="6" spans="1:5" x14ac:dyDescent="0.3">
      <c r="A6" s="29" t="s">
        <v>214</v>
      </c>
      <c r="B6" s="27" t="s">
        <v>55</v>
      </c>
      <c r="C6" s="27" t="s">
        <v>876</v>
      </c>
      <c r="D6" s="27" t="s">
        <v>877</v>
      </c>
      <c r="E6" s="27">
        <v>60000000</v>
      </c>
    </row>
    <row r="7" spans="1:5" x14ac:dyDescent="0.3">
      <c r="A7" s="29" t="s">
        <v>208</v>
      </c>
      <c r="B7" s="27" t="s">
        <v>48</v>
      </c>
      <c r="C7" s="27" t="s">
        <v>293</v>
      </c>
      <c r="D7" s="27" t="s">
        <v>294</v>
      </c>
      <c r="E7" s="27">
        <v>135000000</v>
      </c>
    </row>
    <row r="8" spans="1:5" x14ac:dyDescent="0.3">
      <c r="A8" s="29" t="s">
        <v>204</v>
      </c>
      <c r="B8" s="27" t="s">
        <v>48</v>
      </c>
      <c r="C8" s="27"/>
      <c r="D8" s="27"/>
      <c r="E8" s="27">
        <v>150000000</v>
      </c>
    </row>
    <row r="9" spans="1:5" x14ac:dyDescent="0.3">
      <c r="A9" s="29" t="s">
        <v>222</v>
      </c>
      <c r="B9" s="27" t="s">
        <v>48</v>
      </c>
      <c r="C9" s="27" t="s">
        <v>327</v>
      </c>
      <c r="D9" s="27" t="s">
        <v>328</v>
      </c>
      <c r="E9" s="27">
        <v>140000000</v>
      </c>
    </row>
    <row r="10" spans="1:5" x14ac:dyDescent="0.3">
      <c r="A10" s="31" t="s">
        <v>218</v>
      </c>
      <c r="B10" s="27" t="s">
        <v>94</v>
      </c>
      <c r="C10" s="27" t="s">
        <v>287</v>
      </c>
      <c r="D10" s="27" t="s">
        <v>878</v>
      </c>
      <c r="E10" s="27">
        <v>45000000</v>
      </c>
    </row>
    <row r="11" spans="1:5" x14ac:dyDescent="0.3">
      <c r="A11" s="29" t="s">
        <v>236</v>
      </c>
      <c r="B11" s="27" t="s">
        <v>94</v>
      </c>
      <c r="C11" s="27" t="s">
        <v>191</v>
      </c>
      <c r="D11" s="27" t="s">
        <v>192</v>
      </c>
      <c r="E11" s="27">
        <v>27000000</v>
      </c>
    </row>
    <row r="12" spans="1:5" x14ac:dyDescent="0.3">
      <c r="A12" s="31" t="s">
        <v>305</v>
      </c>
      <c r="B12" s="27" t="s">
        <v>55</v>
      </c>
      <c r="C12" s="27" t="s">
        <v>453</v>
      </c>
      <c r="D12" s="27" t="s">
        <v>454</v>
      </c>
      <c r="E12" s="32">
        <v>240000000</v>
      </c>
    </row>
    <row r="13" spans="1:5" x14ac:dyDescent="0.3">
      <c r="A13" s="31" t="s">
        <v>323</v>
      </c>
      <c r="B13" s="27" t="s">
        <v>141</v>
      </c>
      <c r="C13" s="27" t="s">
        <v>327</v>
      </c>
      <c r="D13" s="27" t="s">
        <v>328</v>
      </c>
      <c r="E13" s="27">
        <v>8800000</v>
      </c>
    </row>
    <row r="14" spans="1:5" x14ac:dyDescent="0.3">
      <c r="A14" s="31" t="s">
        <v>336</v>
      </c>
      <c r="B14" s="27" t="s">
        <v>94</v>
      </c>
      <c r="C14" s="27" t="s">
        <v>173</v>
      </c>
      <c r="D14" s="27" t="s">
        <v>174</v>
      </c>
      <c r="E14" s="27">
        <v>60000000</v>
      </c>
    </row>
    <row r="15" spans="1:5" x14ac:dyDescent="0.3">
      <c r="A15" s="31" t="s">
        <v>329</v>
      </c>
      <c r="B15" s="27" t="s">
        <v>141</v>
      </c>
      <c r="C15" s="27" t="s">
        <v>65</v>
      </c>
      <c r="D15" s="27" t="s">
        <v>66</v>
      </c>
      <c r="E15" s="27">
        <v>36000000</v>
      </c>
    </row>
    <row r="16" spans="1:5" x14ac:dyDescent="0.3">
      <c r="A16" s="27" t="s">
        <v>342</v>
      </c>
      <c r="B16" s="27" t="s">
        <v>48</v>
      </c>
      <c r="C16" s="27" t="s">
        <v>87</v>
      </c>
      <c r="D16" s="27" t="s">
        <v>88</v>
      </c>
      <c r="E16" s="27">
        <v>427000000</v>
      </c>
    </row>
    <row r="17" spans="1:5" x14ac:dyDescent="0.3">
      <c r="A17" s="27" t="s">
        <v>351</v>
      </c>
      <c r="B17" s="27" t="s">
        <v>141</v>
      </c>
      <c r="C17" s="27" t="s">
        <v>186</v>
      </c>
      <c r="D17" s="27" t="s">
        <v>187</v>
      </c>
      <c r="E17" s="27">
        <v>46200000</v>
      </c>
    </row>
    <row r="18" spans="1:5" x14ac:dyDescent="0.3">
      <c r="A18" s="31" t="s">
        <v>361</v>
      </c>
      <c r="B18" s="27" t="s">
        <v>94</v>
      </c>
      <c r="C18" s="27" t="s">
        <v>39</v>
      </c>
      <c r="D18" s="27" t="s">
        <v>40</v>
      </c>
      <c r="E18" s="27">
        <v>75000000</v>
      </c>
    </row>
    <row r="19" spans="1:5" x14ac:dyDescent="0.3">
      <c r="A19" s="31" t="s">
        <v>357</v>
      </c>
      <c r="B19" s="27" t="s">
        <v>871</v>
      </c>
      <c r="C19" s="27" t="s">
        <v>879</v>
      </c>
      <c r="D19" s="27" t="s">
        <v>880</v>
      </c>
      <c r="E19" s="27">
        <v>46200000</v>
      </c>
    </row>
    <row r="20" spans="1:5" x14ac:dyDescent="0.3">
      <c r="A20" s="31" t="s">
        <v>375</v>
      </c>
      <c r="B20" s="27" t="s">
        <v>871</v>
      </c>
      <c r="C20" s="27" t="s">
        <v>524</v>
      </c>
      <c r="D20" s="27" t="s">
        <v>87</v>
      </c>
      <c r="E20" s="27">
        <v>49500000</v>
      </c>
    </row>
    <row r="21" spans="1:5" x14ac:dyDescent="0.3">
      <c r="A21" s="27" t="s">
        <v>371</v>
      </c>
      <c r="B21" s="27" t="s">
        <v>871</v>
      </c>
      <c r="C21" s="27" t="s">
        <v>127</v>
      </c>
      <c r="D21" s="27" t="s">
        <v>128</v>
      </c>
      <c r="E21" s="27">
        <v>6600000</v>
      </c>
    </row>
    <row r="22" spans="1:5" x14ac:dyDescent="0.3">
      <c r="A22" s="31" t="s">
        <v>367</v>
      </c>
      <c r="B22" s="27" t="s">
        <v>871</v>
      </c>
      <c r="C22" s="27" t="s">
        <v>82</v>
      </c>
      <c r="D22" s="27" t="s">
        <v>83</v>
      </c>
      <c r="E22" s="27">
        <v>41580000</v>
      </c>
    </row>
    <row r="23" spans="1:5" x14ac:dyDescent="0.3">
      <c r="A23" s="27" t="s">
        <v>383</v>
      </c>
      <c r="B23" s="27" t="s">
        <v>141</v>
      </c>
      <c r="C23" s="27" t="s">
        <v>288</v>
      </c>
      <c r="D23" s="27" t="s">
        <v>881</v>
      </c>
      <c r="E23" s="27">
        <v>23100000</v>
      </c>
    </row>
    <row r="24" spans="1:5" x14ac:dyDescent="0.3">
      <c r="A24" s="31" t="s">
        <v>379</v>
      </c>
      <c r="B24" s="27" t="s">
        <v>141</v>
      </c>
      <c r="C24" s="27" t="s">
        <v>433</v>
      </c>
      <c r="D24" s="27" t="s">
        <v>872</v>
      </c>
      <c r="E24" s="27">
        <v>33000000</v>
      </c>
    </row>
    <row r="25" spans="1:5" x14ac:dyDescent="0.3">
      <c r="A25" s="31" t="s">
        <v>398</v>
      </c>
      <c r="B25" s="27" t="s">
        <v>141</v>
      </c>
      <c r="C25" s="27" t="s">
        <v>116</v>
      </c>
      <c r="D25" s="27" t="s">
        <v>117</v>
      </c>
      <c r="E25" s="27">
        <v>170000000</v>
      </c>
    </row>
    <row r="26" spans="1:5" x14ac:dyDescent="0.3">
      <c r="A26" s="31" t="s">
        <v>390</v>
      </c>
      <c r="B26" s="27" t="s">
        <v>871</v>
      </c>
      <c r="C26" s="27" t="s">
        <v>288</v>
      </c>
      <c r="D26" s="27" t="s">
        <v>881</v>
      </c>
      <c r="E26" s="27">
        <v>30000000</v>
      </c>
    </row>
    <row r="27" spans="1:5" x14ac:dyDescent="0.3">
      <c r="A27" s="31" t="s">
        <v>421</v>
      </c>
      <c r="B27" s="27" t="s">
        <v>141</v>
      </c>
      <c r="C27" s="27" t="s">
        <v>882</v>
      </c>
      <c r="D27" s="27" t="s">
        <v>883</v>
      </c>
      <c r="E27" s="27">
        <v>49500000</v>
      </c>
    </row>
    <row r="28" spans="1:5" x14ac:dyDescent="0.3">
      <c r="A28" s="31" t="s">
        <v>418</v>
      </c>
      <c r="B28" s="27" t="s">
        <v>141</v>
      </c>
      <c r="C28" s="27" t="s">
        <v>424</v>
      </c>
      <c r="D28" s="27" t="s">
        <v>425</v>
      </c>
      <c r="E28" s="27">
        <v>72600000</v>
      </c>
    </row>
    <row r="29" spans="1:5" x14ac:dyDescent="0.3">
      <c r="A29" s="27" t="s">
        <v>415</v>
      </c>
      <c r="B29" s="27" t="s">
        <v>141</v>
      </c>
      <c r="C29" s="27" t="s">
        <v>884</v>
      </c>
      <c r="D29" s="27" t="s">
        <v>885</v>
      </c>
      <c r="E29" s="27">
        <v>6600000</v>
      </c>
    </row>
    <row r="30" spans="1:5" x14ac:dyDescent="0.3">
      <c r="A30" s="27" t="s">
        <v>434</v>
      </c>
      <c r="B30" s="27" t="s">
        <v>48</v>
      </c>
      <c r="C30" s="27" t="s">
        <v>616</v>
      </c>
      <c r="D30" s="27" t="s">
        <v>617</v>
      </c>
      <c r="E30" s="27">
        <v>206000000</v>
      </c>
    </row>
    <row r="31" spans="1:5" x14ac:dyDescent="0.3">
      <c r="A31" s="27" t="s">
        <v>426</v>
      </c>
      <c r="B31" s="27" t="s">
        <v>94</v>
      </c>
      <c r="C31" s="27" t="s">
        <v>260</v>
      </c>
      <c r="D31" s="27" t="s">
        <v>261</v>
      </c>
      <c r="E31" s="27">
        <v>34000000</v>
      </c>
    </row>
    <row r="32" spans="1:5" x14ac:dyDescent="0.3">
      <c r="A32" s="27" t="s">
        <v>446</v>
      </c>
      <c r="B32" s="27" t="s">
        <v>141</v>
      </c>
      <c r="C32" s="27" t="s">
        <v>266</v>
      </c>
      <c r="D32" s="27" t="s">
        <v>267</v>
      </c>
      <c r="E32" s="27">
        <v>76000000</v>
      </c>
    </row>
    <row r="33" spans="1:5" x14ac:dyDescent="0.3">
      <c r="A33" s="27" t="s">
        <v>442</v>
      </c>
      <c r="B33" s="27" t="s">
        <v>886</v>
      </c>
      <c r="C33" s="27" t="s">
        <v>462</v>
      </c>
      <c r="D33" s="27" t="s">
        <v>463</v>
      </c>
      <c r="E33" s="27">
        <v>60000000</v>
      </c>
    </row>
    <row r="34" spans="1:5" x14ac:dyDescent="0.3">
      <c r="A34" s="31" t="s">
        <v>455</v>
      </c>
      <c r="B34" s="27" t="s">
        <v>141</v>
      </c>
      <c r="C34" s="27" t="s">
        <v>887</v>
      </c>
      <c r="D34" s="27" t="s">
        <v>197</v>
      </c>
      <c r="E34" s="27">
        <v>39600000</v>
      </c>
    </row>
    <row r="35" spans="1:5" x14ac:dyDescent="0.3">
      <c r="A35" s="27" t="s">
        <v>450</v>
      </c>
      <c r="B35" s="27" t="s">
        <v>886</v>
      </c>
      <c r="C35" s="27" t="s">
        <v>243</v>
      </c>
      <c r="D35" s="27" t="s">
        <v>244</v>
      </c>
      <c r="E35" s="27">
        <v>42900000</v>
      </c>
    </row>
    <row r="36" spans="1:5" x14ac:dyDescent="0.3">
      <c r="A36" s="27" t="s">
        <v>499</v>
      </c>
      <c r="B36" s="27" t="s">
        <v>48</v>
      </c>
      <c r="C36" s="27" t="s">
        <v>544</v>
      </c>
      <c r="D36" s="27" t="s">
        <v>875</v>
      </c>
      <c r="E36" s="27">
        <v>99000000</v>
      </c>
    </row>
    <row r="37" spans="1:5" x14ac:dyDescent="0.3">
      <c r="A37" s="31" t="s">
        <v>509</v>
      </c>
      <c r="B37" s="27" t="s">
        <v>48</v>
      </c>
      <c r="C37" s="27" t="s">
        <v>626</v>
      </c>
      <c r="D37" s="27" t="s">
        <v>627</v>
      </c>
      <c r="E37" s="27">
        <v>44000000</v>
      </c>
    </row>
    <row r="38" spans="1:5" x14ac:dyDescent="0.3">
      <c r="A38" s="31" t="s">
        <v>521</v>
      </c>
      <c r="B38" s="27" t="s">
        <v>55</v>
      </c>
      <c r="C38" s="27" t="s">
        <v>616</v>
      </c>
      <c r="D38" s="27" t="s">
        <v>617</v>
      </c>
      <c r="E38" s="27">
        <v>80000000</v>
      </c>
    </row>
    <row r="39" spans="1:5" x14ac:dyDescent="0.3">
      <c r="A39" s="31" t="s">
        <v>517</v>
      </c>
      <c r="B39" s="27" t="s">
        <v>886</v>
      </c>
      <c r="C39" s="27" t="s">
        <v>528</v>
      </c>
      <c r="D39" s="27" t="s">
        <v>529</v>
      </c>
      <c r="E39" s="27">
        <v>29700000</v>
      </c>
    </row>
    <row r="40" spans="1:5" x14ac:dyDescent="0.3">
      <c r="A40" s="27" t="s">
        <v>514</v>
      </c>
      <c r="B40" s="27" t="s">
        <v>55</v>
      </c>
      <c r="C40" s="27" t="s">
        <v>191</v>
      </c>
      <c r="D40" s="27" t="s">
        <v>192</v>
      </c>
      <c r="E40" s="27">
        <v>30000000</v>
      </c>
    </row>
    <row r="41" spans="1:5" x14ac:dyDescent="0.3">
      <c r="A41" s="27" t="s">
        <v>533</v>
      </c>
      <c r="B41" s="27" t="s">
        <v>141</v>
      </c>
      <c r="C41" s="27" t="s">
        <v>288</v>
      </c>
      <c r="D41" s="27" t="s">
        <v>881</v>
      </c>
      <c r="E41" s="27">
        <v>33000000</v>
      </c>
    </row>
    <row r="42" spans="1:5" x14ac:dyDescent="0.3">
      <c r="A42" s="27" t="s">
        <v>525</v>
      </c>
      <c r="B42" s="27" t="s">
        <v>888</v>
      </c>
      <c r="C42" s="27" t="s">
        <v>39</v>
      </c>
      <c r="D42" s="27" t="s">
        <v>40</v>
      </c>
      <c r="E42" s="27">
        <v>30000000</v>
      </c>
    </row>
    <row r="43" spans="1:5" x14ac:dyDescent="0.3">
      <c r="A43" s="27" t="s">
        <v>541</v>
      </c>
      <c r="B43" s="27" t="s">
        <v>886</v>
      </c>
      <c r="C43" s="27" t="s">
        <v>889</v>
      </c>
      <c r="D43" s="27" t="s">
        <v>878</v>
      </c>
      <c r="E43" s="27">
        <v>46200000</v>
      </c>
    </row>
    <row r="44" spans="1:5" x14ac:dyDescent="0.3">
      <c r="A44" s="27" t="s">
        <v>536</v>
      </c>
      <c r="B44" s="27" t="s">
        <v>55</v>
      </c>
      <c r="C44" s="27" t="s">
        <v>569</v>
      </c>
      <c r="D44" s="27" t="s">
        <v>570</v>
      </c>
      <c r="E44" s="27">
        <v>40000000</v>
      </c>
    </row>
    <row r="45" spans="1:5" x14ac:dyDescent="0.3">
      <c r="A45" s="31" t="s">
        <v>556</v>
      </c>
      <c r="B45" s="27" t="s">
        <v>871</v>
      </c>
      <c r="C45" s="27" t="s">
        <v>890</v>
      </c>
      <c r="D45" s="27" t="s">
        <v>891</v>
      </c>
      <c r="E45" s="27">
        <v>82500000</v>
      </c>
    </row>
    <row r="46" spans="1:5" x14ac:dyDescent="0.3">
      <c r="A46" s="31" t="s">
        <v>549</v>
      </c>
      <c r="B46" s="27" t="s">
        <v>871</v>
      </c>
      <c r="C46" s="27" t="s">
        <v>46</v>
      </c>
      <c r="D46" s="27" t="s">
        <v>47</v>
      </c>
      <c r="E46" s="27">
        <v>58000000</v>
      </c>
    </row>
    <row r="47" spans="1:5" x14ac:dyDescent="0.3">
      <c r="A47" s="1" t="s">
        <v>188</v>
      </c>
      <c r="B47" s="1" t="s">
        <v>55</v>
      </c>
      <c r="C47" s="1" t="s">
        <v>869</v>
      </c>
      <c r="D47" s="1" t="s">
        <v>870</v>
      </c>
      <c r="E47" s="1">
        <v>30600000</v>
      </c>
    </row>
    <row r="48" spans="1:5" x14ac:dyDescent="0.3">
      <c r="A48" s="1" t="s">
        <v>182</v>
      </c>
      <c r="B48" s="1" t="s">
        <v>871</v>
      </c>
      <c r="C48" s="1" t="s">
        <v>34</v>
      </c>
      <c r="D48" s="1" t="s">
        <v>872</v>
      </c>
      <c r="E48" s="1">
        <v>55000000</v>
      </c>
    </row>
    <row r="49" spans="1:5" x14ac:dyDescent="0.3">
      <c r="A49" s="1" t="s">
        <v>175</v>
      </c>
      <c r="B49" s="1" t="s">
        <v>892</v>
      </c>
      <c r="C49" s="1" t="s">
        <v>874</v>
      </c>
      <c r="D49" s="1" t="s">
        <v>82</v>
      </c>
      <c r="E49" s="1">
        <v>132000000</v>
      </c>
    </row>
    <row r="50" spans="1:5" x14ac:dyDescent="0.3">
      <c r="A50" s="1" t="s">
        <v>199</v>
      </c>
      <c r="B50" s="1" t="s">
        <v>141</v>
      </c>
      <c r="C50" s="1" t="s">
        <v>544</v>
      </c>
      <c r="D50" s="1" t="s">
        <v>875</v>
      </c>
      <c r="E50" s="1">
        <v>20000000</v>
      </c>
    </row>
    <row r="51" spans="1:5" x14ac:dyDescent="0.3">
      <c r="A51" s="1" t="s">
        <v>214</v>
      </c>
      <c r="B51" s="1" t="s">
        <v>55</v>
      </c>
      <c r="C51" s="1" t="s">
        <v>876</v>
      </c>
      <c r="D51" s="1" t="s">
        <v>877</v>
      </c>
      <c r="E51" s="1">
        <v>60000000</v>
      </c>
    </row>
    <row r="52" spans="1:5" x14ac:dyDescent="0.3">
      <c r="A52" s="1" t="s">
        <v>208</v>
      </c>
      <c r="B52" s="1" t="s">
        <v>48</v>
      </c>
      <c r="C52" s="1" t="s">
        <v>293</v>
      </c>
      <c r="D52" s="1" t="s">
        <v>294</v>
      </c>
      <c r="E52" s="1">
        <v>135000000</v>
      </c>
    </row>
    <row r="53" spans="1:5" x14ac:dyDescent="0.3">
      <c r="A53" s="1" t="s">
        <v>204</v>
      </c>
      <c r="B53" s="1" t="s">
        <v>48</v>
      </c>
      <c r="C53" s="1"/>
      <c r="D53" s="1"/>
      <c r="E53" s="1">
        <v>150000000</v>
      </c>
    </row>
    <row r="54" spans="1:5" x14ac:dyDescent="0.3">
      <c r="A54" s="1" t="s">
        <v>222</v>
      </c>
      <c r="B54" s="1" t="s">
        <v>48</v>
      </c>
      <c r="C54" s="1" t="s">
        <v>327</v>
      </c>
      <c r="D54" s="1" t="s">
        <v>328</v>
      </c>
      <c r="E54" s="1">
        <v>140000000</v>
      </c>
    </row>
    <row r="55" spans="1:5" x14ac:dyDescent="0.3">
      <c r="A55" s="1" t="s">
        <v>218</v>
      </c>
      <c r="B55" s="1" t="s">
        <v>94</v>
      </c>
      <c r="C55" s="1" t="s">
        <v>287</v>
      </c>
      <c r="D55" s="1" t="s">
        <v>878</v>
      </c>
      <c r="E55" s="1">
        <v>45000000</v>
      </c>
    </row>
    <row r="56" spans="1:5" x14ac:dyDescent="0.3">
      <c r="A56" s="1" t="s">
        <v>236</v>
      </c>
      <c r="B56" s="1" t="s">
        <v>94</v>
      </c>
      <c r="C56" s="1" t="s">
        <v>191</v>
      </c>
      <c r="D56" s="1" t="s">
        <v>192</v>
      </c>
      <c r="E56" s="1">
        <v>27000000</v>
      </c>
    </row>
    <row r="57" spans="1:5" x14ac:dyDescent="0.3">
      <c r="A57" s="1" t="s">
        <v>305</v>
      </c>
      <c r="B57" s="1" t="s">
        <v>55</v>
      </c>
      <c r="C57" s="1" t="s">
        <v>453</v>
      </c>
      <c r="D57" s="1" t="s">
        <v>454</v>
      </c>
      <c r="E57" s="1">
        <v>240000000</v>
      </c>
    </row>
    <row r="58" spans="1:5" x14ac:dyDescent="0.3">
      <c r="A58" s="1" t="s">
        <v>323</v>
      </c>
      <c r="B58" s="1" t="s">
        <v>141</v>
      </c>
      <c r="C58" s="1" t="s">
        <v>327</v>
      </c>
      <c r="D58" s="1" t="s">
        <v>328</v>
      </c>
      <c r="E58" s="1">
        <v>8800000</v>
      </c>
    </row>
    <row r="59" spans="1:5" x14ac:dyDescent="0.3">
      <c r="A59" s="1" t="s">
        <v>336</v>
      </c>
      <c r="B59" s="1" t="s">
        <v>94</v>
      </c>
      <c r="C59" s="1" t="s">
        <v>173</v>
      </c>
      <c r="D59" s="1" t="s">
        <v>174</v>
      </c>
      <c r="E59" s="1">
        <v>60000000</v>
      </c>
    </row>
    <row r="60" spans="1:5" x14ac:dyDescent="0.3">
      <c r="A60" s="1" t="s">
        <v>329</v>
      </c>
      <c r="B60" s="1" t="s">
        <v>141</v>
      </c>
      <c r="C60" s="1" t="s">
        <v>65</v>
      </c>
      <c r="D60" s="1" t="s">
        <v>66</v>
      </c>
      <c r="E60" s="1">
        <v>36000000</v>
      </c>
    </row>
    <row r="61" spans="1:5" x14ac:dyDescent="0.3">
      <c r="A61" s="1" t="s">
        <v>342</v>
      </c>
      <c r="B61" s="1" t="s">
        <v>48</v>
      </c>
      <c r="C61" s="1" t="s">
        <v>87</v>
      </c>
      <c r="D61" s="1" t="s">
        <v>88</v>
      </c>
      <c r="E61" s="1">
        <v>427000000</v>
      </c>
    </row>
    <row r="62" spans="1:5" x14ac:dyDescent="0.3">
      <c r="A62" s="1" t="s">
        <v>351</v>
      </c>
      <c r="B62" s="1" t="s">
        <v>141</v>
      </c>
      <c r="C62" s="1" t="s">
        <v>186</v>
      </c>
      <c r="D62" s="1" t="s">
        <v>187</v>
      </c>
      <c r="E62" s="1">
        <v>46200000</v>
      </c>
    </row>
    <row r="63" spans="1:5" x14ac:dyDescent="0.3">
      <c r="A63" s="1" t="s">
        <v>361</v>
      </c>
      <c r="B63" s="1" t="s">
        <v>94</v>
      </c>
      <c r="C63" s="1" t="s">
        <v>39</v>
      </c>
      <c r="D63" s="1" t="s">
        <v>40</v>
      </c>
      <c r="E63" s="1">
        <v>75000000</v>
      </c>
    </row>
    <row r="64" spans="1:5" x14ac:dyDescent="0.3">
      <c r="A64" s="1" t="s">
        <v>357</v>
      </c>
      <c r="B64" s="1" t="s">
        <v>13</v>
      </c>
      <c r="C64" s="1" t="s">
        <v>879</v>
      </c>
      <c r="D64" s="1" t="s">
        <v>880</v>
      </c>
      <c r="E64" s="1">
        <v>46200000</v>
      </c>
    </row>
    <row r="65" spans="1:5" x14ac:dyDescent="0.3">
      <c r="A65" s="1" t="s">
        <v>375</v>
      </c>
      <c r="B65" s="1" t="s">
        <v>13</v>
      </c>
      <c r="C65" s="1" t="s">
        <v>524</v>
      </c>
      <c r="D65" s="1" t="s">
        <v>87</v>
      </c>
      <c r="E65" s="1">
        <v>49500000</v>
      </c>
    </row>
    <row r="66" spans="1:5" x14ac:dyDescent="0.3">
      <c r="A66" s="1" t="s">
        <v>371</v>
      </c>
      <c r="B66" s="1" t="s">
        <v>13</v>
      </c>
      <c r="C66" s="1" t="s">
        <v>127</v>
      </c>
      <c r="D66" s="1" t="s">
        <v>128</v>
      </c>
      <c r="E66" s="1">
        <v>6600000</v>
      </c>
    </row>
    <row r="67" spans="1:5" x14ac:dyDescent="0.3">
      <c r="A67" s="1" t="s">
        <v>367</v>
      </c>
      <c r="B67" s="1" t="s">
        <v>13</v>
      </c>
      <c r="C67" s="1" t="s">
        <v>82</v>
      </c>
      <c r="D67" s="1" t="s">
        <v>83</v>
      </c>
      <c r="E67" s="1">
        <v>41580000</v>
      </c>
    </row>
    <row r="68" spans="1:5" x14ac:dyDescent="0.3">
      <c r="A68" s="1" t="s">
        <v>383</v>
      </c>
      <c r="B68" s="1" t="s">
        <v>141</v>
      </c>
      <c r="C68" s="1" t="s">
        <v>288</v>
      </c>
      <c r="D68" s="1" t="s">
        <v>881</v>
      </c>
      <c r="E68" s="1">
        <v>23100000</v>
      </c>
    </row>
    <row r="69" spans="1:5" x14ac:dyDescent="0.3">
      <c r="A69" s="1" t="s">
        <v>379</v>
      </c>
      <c r="B69" s="1" t="s">
        <v>141</v>
      </c>
      <c r="C69" s="1" t="s">
        <v>433</v>
      </c>
      <c r="D69" s="1" t="s">
        <v>872</v>
      </c>
      <c r="E69" s="1">
        <v>33000000</v>
      </c>
    </row>
    <row r="70" spans="1:5" x14ac:dyDescent="0.3">
      <c r="A70" s="1" t="s">
        <v>398</v>
      </c>
      <c r="B70" s="1" t="s">
        <v>141</v>
      </c>
      <c r="C70" s="1" t="s">
        <v>116</v>
      </c>
      <c r="D70" s="1" t="s">
        <v>117</v>
      </c>
      <c r="E70" s="1">
        <v>170000000</v>
      </c>
    </row>
    <row r="71" spans="1:5" x14ac:dyDescent="0.3">
      <c r="A71" s="1" t="s">
        <v>390</v>
      </c>
      <c r="B71" s="1" t="s">
        <v>13</v>
      </c>
      <c r="C71" s="1" t="s">
        <v>288</v>
      </c>
      <c r="D71" s="1" t="s">
        <v>881</v>
      </c>
      <c r="E71" s="1">
        <v>30000000</v>
      </c>
    </row>
    <row r="72" spans="1:5" x14ac:dyDescent="0.3">
      <c r="A72" s="1" t="s">
        <v>421</v>
      </c>
      <c r="B72" s="1" t="s">
        <v>141</v>
      </c>
      <c r="C72" s="1" t="s">
        <v>882</v>
      </c>
      <c r="D72" s="1" t="s">
        <v>883</v>
      </c>
      <c r="E72" s="1">
        <v>49500000</v>
      </c>
    </row>
    <row r="73" spans="1:5" x14ac:dyDescent="0.3">
      <c r="A73" s="1" t="s">
        <v>418</v>
      </c>
      <c r="B73" s="1" t="s">
        <v>141</v>
      </c>
      <c r="C73" s="1" t="s">
        <v>424</v>
      </c>
      <c r="D73" s="1" t="s">
        <v>425</v>
      </c>
      <c r="E73" s="1">
        <v>72600000</v>
      </c>
    </row>
    <row r="74" spans="1:5" x14ac:dyDescent="0.3">
      <c r="A74" s="1" t="s">
        <v>415</v>
      </c>
      <c r="B74" s="1" t="s">
        <v>141</v>
      </c>
      <c r="C74" s="1" t="s">
        <v>884</v>
      </c>
      <c r="D74" s="1" t="s">
        <v>885</v>
      </c>
      <c r="E74" s="1">
        <v>6600000</v>
      </c>
    </row>
    <row r="75" spans="1:5" x14ac:dyDescent="0.3">
      <c r="A75" s="1" t="s">
        <v>434</v>
      </c>
      <c r="B75" s="1" t="s">
        <v>48</v>
      </c>
      <c r="C75" s="1" t="s">
        <v>616</v>
      </c>
      <c r="D75" s="1" t="s">
        <v>617</v>
      </c>
      <c r="E75" s="1">
        <v>206000000</v>
      </c>
    </row>
    <row r="76" spans="1:5" x14ac:dyDescent="0.3">
      <c r="A76" s="1" t="s">
        <v>426</v>
      </c>
      <c r="B76" s="1" t="s">
        <v>94</v>
      </c>
      <c r="C76" s="1" t="s">
        <v>260</v>
      </c>
      <c r="D76" s="1" t="s">
        <v>261</v>
      </c>
      <c r="E76" s="1">
        <v>34000000</v>
      </c>
    </row>
    <row r="77" spans="1:5" x14ac:dyDescent="0.3">
      <c r="A77" s="1" t="s">
        <v>446</v>
      </c>
      <c r="B77" s="1" t="s">
        <v>141</v>
      </c>
      <c r="C77" s="1" t="s">
        <v>266</v>
      </c>
      <c r="D77" s="1" t="s">
        <v>267</v>
      </c>
      <c r="E77" s="1">
        <v>76000000</v>
      </c>
    </row>
    <row r="78" spans="1:5" x14ac:dyDescent="0.3">
      <c r="A78" s="1" t="s">
        <v>442</v>
      </c>
      <c r="B78" s="1" t="s">
        <v>20</v>
      </c>
      <c r="C78" s="1" t="s">
        <v>462</v>
      </c>
      <c r="D78" s="1" t="s">
        <v>463</v>
      </c>
      <c r="E78" s="1">
        <v>60000000</v>
      </c>
    </row>
    <row r="79" spans="1:5" x14ac:dyDescent="0.3">
      <c r="A79" s="1" t="s">
        <v>455</v>
      </c>
      <c r="B79" s="1" t="s">
        <v>141</v>
      </c>
      <c r="C79" s="1" t="s">
        <v>887</v>
      </c>
      <c r="D79" s="1" t="s">
        <v>197</v>
      </c>
      <c r="E79" s="1">
        <v>39600000</v>
      </c>
    </row>
    <row r="80" spans="1:5" x14ac:dyDescent="0.3">
      <c r="A80" s="1" t="s">
        <v>450</v>
      </c>
      <c r="B80" s="1" t="s">
        <v>20</v>
      </c>
      <c r="C80" s="1" t="s">
        <v>243</v>
      </c>
      <c r="D80" s="1" t="s">
        <v>244</v>
      </c>
      <c r="E80" s="1">
        <v>42900000</v>
      </c>
    </row>
    <row r="81" spans="1:5" x14ac:dyDescent="0.3">
      <c r="A81" s="1" t="s">
        <v>499</v>
      </c>
      <c r="B81" s="1" t="s">
        <v>48</v>
      </c>
      <c r="C81" s="1" t="s">
        <v>544</v>
      </c>
      <c r="D81" s="1" t="s">
        <v>875</v>
      </c>
      <c r="E81" s="1">
        <v>99000000</v>
      </c>
    </row>
    <row r="82" spans="1:5" x14ac:dyDescent="0.3">
      <c r="A82" s="1" t="s">
        <v>509</v>
      </c>
      <c r="B82" s="1" t="s">
        <v>48</v>
      </c>
      <c r="C82" s="1" t="s">
        <v>626</v>
      </c>
      <c r="D82" s="1" t="s">
        <v>627</v>
      </c>
      <c r="E82" s="1">
        <v>44000000</v>
      </c>
    </row>
    <row r="83" spans="1:5" x14ac:dyDescent="0.3">
      <c r="A83" s="1" t="s">
        <v>521</v>
      </c>
      <c r="B83" s="1" t="s">
        <v>55</v>
      </c>
      <c r="C83" s="1" t="s">
        <v>616</v>
      </c>
      <c r="D83" s="1" t="s">
        <v>617</v>
      </c>
      <c r="E83" s="1">
        <v>80000000</v>
      </c>
    </row>
    <row r="84" spans="1:5" x14ac:dyDescent="0.3">
      <c r="A84" s="1" t="s">
        <v>517</v>
      </c>
      <c r="B84" s="1" t="s">
        <v>20</v>
      </c>
      <c r="C84" s="1" t="s">
        <v>528</v>
      </c>
      <c r="D84" s="1" t="s">
        <v>529</v>
      </c>
      <c r="E84" s="1">
        <v>29700000</v>
      </c>
    </row>
    <row r="85" spans="1:5" x14ac:dyDescent="0.3">
      <c r="A85" s="1" t="s">
        <v>514</v>
      </c>
      <c r="B85" s="1" t="s">
        <v>55</v>
      </c>
      <c r="C85" s="1" t="s">
        <v>191</v>
      </c>
      <c r="D85" s="1" t="s">
        <v>192</v>
      </c>
      <c r="E85" s="1">
        <v>30000000</v>
      </c>
    </row>
    <row r="86" spans="1:5" x14ac:dyDescent="0.3">
      <c r="A86" s="1" t="s">
        <v>533</v>
      </c>
      <c r="B86" s="1" t="s">
        <v>141</v>
      </c>
      <c r="C86" s="1" t="s">
        <v>288</v>
      </c>
      <c r="D86" s="1" t="s">
        <v>881</v>
      </c>
      <c r="E86" s="1">
        <v>33000000</v>
      </c>
    </row>
    <row r="87" spans="1:5" x14ac:dyDescent="0.3">
      <c r="A87" s="1" t="s">
        <v>525</v>
      </c>
      <c r="B87" s="1" t="s">
        <v>888</v>
      </c>
      <c r="C87" s="1" t="s">
        <v>39</v>
      </c>
      <c r="D87" s="1" t="s">
        <v>40</v>
      </c>
      <c r="E87" s="1">
        <v>30000000</v>
      </c>
    </row>
    <row r="88" spans="1:5" x14ac:dyDescent="0.3">
      <c r="A88" s="1" t="s">
        <v>541</v>
      </c>
      <c r="B88" s="1" t="s">
        <v>20</v>
      </c>
      <c r="C88" s="1" t="s">
        <v>889</v>
      </c>
      <c r="D88" s="1" t="s">
        <v>878</v>
      </c>
      <c r="E88" s="1">
        <v>46200000</v>
      </c>
    </row>
    <row r="89" spans="1:5" x14ac:dyDescent="0.3">
      <c r="A89" s="1" t="s">
        <v>536</v>
      </c>
      <c r="B89" s="1" t="s">
        <v>55</v>
      </c>
      <c r="C89" s="1" t="s">
        <v>569</v>
      </c>
      <c r="D89" s="1" t="s">
        <v>570</v>
      </c>
      <c r="E89" s="1">
        <v>40000000</v>
      </c>
    </row>
    <row r="90" spans="1:5" x14ac:dyDescent="0.3">
      <c r="A90" s="1" t="s">
        <v>556</v>
      </c>
      <c r="B90" s="1" t="s">
        <v>13</v>
      </c>
      <c r="C90" s="1" t="s">
        <v>890</v>
      </c>
      <c r="D90" s="1" t="s">
        <v>891</v>
      </c>
      <c r="E90" s="1">
        <v>82500000</v>
      </c>
    </row>
    <row r="91" spans="1:5" x14ac:dyDescent="0.3">
      <c r="A91" s="1" t="s">
        <v>549</v>
      </c>
      <c r="B91" s="1" t="s">
        <v>13</v>
      </c>
      <c r="C91" s="1" t="s">
        <v>46</v>
      </c>
      <c r="D91" s="1" t="s">
        <v>47</v>
      </c>
      <c r="E91" s="1">
        <v>58000000</v>
      </c>
    </row>
    <row r="92" spans="1:5" x14ac:dyDescent="0.3">
      <c r="A92" s="1" t="s">
        <v>112</v>
      </c>
      <c r="B92" s="1" t="s">
        <v>55</v>
      </c>
      <c r="C92" s="1" t="s">
        <v>893</v>
      </c>
      <c r="D92" s="1" t="s">
        <v>77</v>
      </c>
      <c r="E92" s="1">
        <v>78000000</v>
      </c>
    </row>
    <row r="93" spans="1:5" x14ac:dyDescent="0.3">
      <c r="A93" s="1" t="s">
        <v>61</v>
      </c>
      <c r="B93" s="1" t="s">
        <v>41</v>
      </c>
      <c r="C93" s="1" t="s">
        <v>606</v>
      </c>
      <c r="D93" s="1" t="s">
        <v>607</v>
      </c>
      <c r="E93" s="1">
        <v>66000000</v>
      </c>
    </row>
    <row r="94" spans="1:5" x14ac:dyDescent="0.3">
      <c r="A94" s="1" t="s">
        <v>78</v>
      </c>
      <c r="B94" s="1" t="s">
        <v>892</v>
      </c>
      <c r="C94" s="1" t="s">
        <v>544</v>
      </c>
      <c r="D94" s="1" t="s">
        <v>875</v>
      </c>
      <c r="E94" s="1">
        <v>70000000</v>
      </c>
    </row>
    <row r="95" spans="1:5" x14ac:dyDescent="0.3">
      <c r="A95" s="1" t="s">
        <v>336</v>
      </c>
      <c r="B95" s="1" t="s">
        <v>94</v>
      </c>
      <c r="C95" s="1" t="s">
        <v>173</v>
      </c>
      <c r="D95" s="1" t="s">
        <v>174</v>
      </c>
      <c r="E95" s="1">
        <v>60000000</v>
      </c>
    </row>
    <row r="96" spans="1:5" x14ac:dyDescent="0.3">
      <c r="A96" s="1" t="s">
        <v>214</v>
      </c>
      <c r="B96" s="1" t="s">
        <v>55</v>
      </c>
      <c r="C96" s="1" t="s">
        <v>894</v>
      </c>
      <c r="D96" s="1" t="s">
        <v>895</v>
      </c>
      <c r="E96" s="1">
        <v>60000000</v>
      </c>
    </row>
    <row r="97" spans="1:5" x14ac:dyDescent="0.3">
      <c r="A97" s="1" t="s">
        <v>14</v>
      </c>
      <c r="B97" s="1" t="s">
        <v>20</v>
      </c>
      <c r="C97" s="1" t="s">
        <v>24</v>
      </c>
      <c r="D97" s="1" t="s">
        <v>686</v>
      </c>
      <c r="E97" s="1">
        <v>60000000</v>
      </c>
    </row>
    <row r="98" spans="1:5" x14ac:dyDescent="0.3">
      <c r="A98" s="1" t="s">
        <v>549</v>
      </c>
      <c r="B98" s="1" t="s">
        <v>55</v>
      </c>
      <c r="C98" s="1" t="s">
        <v>46</v>
      </c>
      <c r="D98" s="1" t="s">
        <v>47</v>
      </c>
      <c r="E98" s="1">
        <v>58000000</v>
      </c>
    </row>
    <row r="99" spans="1:5" x14ac:dyDescent="0.3">
      <c r="A99" s="1" t="s">
        <v>442</v>
      </c>
      <c r="B99" s="1" t="s">
        <v>20</v>
      </c>
      <c r="C99" s="1" t="s">
        <v>462</v>
      </c>
      <c r="D99" s="1" t="s">
        <v>463</v>
      </c>
      <c r="E99" s="1">
        <v>60000000</v>
      </c>
    </row>
    <row r="100" spans="1:5" x14ac:dyDescent="0.3">
      <c r="A100" s="1" t="s">
        <v>336</v>
      </c>
      <c r="B100" s="1" t="s">
        <v>94</v>
      </c>
      <c r="C100" s="1" t="s">
        <v>173</v>
      </c>
      <c r="D100" s="1" t="s">
        <v>174</v>
      </c>
      <c r="E100" s="1">
        <v>60000000</v>
      </c>
    </row>
    <row r="101" spans="1:5" x14ac:dyDescent="0.3">
      <c r="A101" s="1" t="s">
        <v>375</v>
      </c>
      <c r="B101" s="1" t="s">
        <v>13</v>
      </c>
      <c r="C101" s="1" t="s">
        <v>524</v>
      </c>
      <c r="D101" s="1" t="s">
        <v>87</v>
      </c>
      <c r="E101" s="1">
        <v>49500000</v>
      </c>
    </row>
    <row r="102" spans="1:5" x14ac:dyDescent="0.3">
      <c r="A102" s="1" t="s">
        <v>129</v>
      </c>
      <c r="B102" s="1" t="s">
        <v>55</v>
      </c>
      <c r="C102" s="1" t="s">
        <v>127</v>
      </c>
      <c r="D102" s="1" t="s">
        <v>128</v>
      </c>
      <c r="E102" s="1">
        <v>50000000</v>
      </c>
    </row>
    <row r="103" spans="1:5" x14ac:dyDescent="0.3">
      <c r="A103" s="1" t="s">
        <v>182</v>
      </c>
      <c r="B103" s="1" t="s">
        <v>13</v>
      </c>
      <c r="C103" s="1" t="s">
        <v>433</v>
      </c>
      <c r="D103" s="1" t="s">
        <v>872</v>
      </c>
      <c r="E103" s="1">
        <v>55000000</v>
      </c>
    </row>
    <row r="104" spans="1:5" x14ac:dyDescent="0.3">
      <c r="A104" s="1" t="s">
        <v>351</v>
      </c>
      <c r="B104" s="1" t="s">
        <v>141</v>
      </c>
      <c r="C104" s="1" t="s">
        <v>186</v>
      </c>
      <c r="D104" s="1" t="s">
        <v>187</v>
      </c>
      <c r="E104" s="1">
        <v>46200000</v>
      </c>
    </row>
    <row r="105" spans="1:5" x14ac:dyDescent="0.3">
      <c r="A105" s="1" t="s">
        <v>135</v>
      </c>
      <c r="B105" s="1" t="s">
        <v>141</v>
      </c>
      <c r="C105" s="1" t="s">
        <v>293</v>
      </c>
      <c r="D105" s="1" t="s">
        <v>294</v>
      </c>
      <c r="E105" s="1">
        <v>45000000</v>
      </c>
    </row>
    <row r="106" spans="1:5" x14ac:dyDescent="0.3">
      <c r="A106" s="1" t="s">
        <v>540</v>
      </c>
      <c r="B106" s="1" t="s">
        <v>20</v>
      </c>
      <c r="C106" s="1" t="s">
        <v>889</v>
      </c>
      <c r="D106" s="1" t="s">
        <v>878</v>
      </c>
      <c r="E106" s="1">
        <v>46200000</v>
      </c>
    </row>
    <row r="107" spans="1:5" x14ac:dyDescent="0.3">
      <c r="A107" s="1" t="s">
        <v>357</v>
      </c>
      <c r="B107" s="1" t="s">
        <v>13</v>
      </c>
      <c r="C107" s="1" t="s">
        <v>879</v>
      </c>
      <c r="D107" s="1" t="s">
        <v>879</v>
      </c>
      <c r="E107" s="1">
        <v>46200000</v>
      </c>
    </row>
    <row r="108" spans="1:5" x14ac:dyDescent="0.3">
      <c r="A108" s="1" t="s">
        <v>509</v>
      </c>
      <c r="B108" s="1" t="s">
        <v>48</v>
      </c>
      <c r="C108" s="1" t="s">
        <v>626</v>
      </c>
      <c r="D108" s="1" t="s">
        <v>627</v>
      </c>
      <c r="E108" s="1">
        <v>44000000</v>
      </c>
    </row>
    <row r="109" spans="1:5" x14ac:dyDescent="0.3">
      <c r="A109" s="1" t="s">
        <v>218</v>
      </c>
      <c r="B109" s="1" t="s">
        <v>94</v>
      </c>
      <c r="C109" s="1" t="s">
        <v>287</v>
      </c>
      <c r="D109" s="1" t="s">
        <v>288</v>
      </c>
      <c r="E109" s="1">
        <v>45000000</v>
      </c>
    </row>
    <row r="110" spans="1:5" x14ac:dyDescent="0.3">
      <c r="A110" s="1" t="s">
        <v>67</v>
      </c>
      <c r="B110" s="1" t="s">
        <v>48</v>
      </c>
      <c r="C110" s="1" t="s">
        <v>462</v>
      </c>
      <c r="D110" s="1" t="s">
        <v>463</v>
      </c>
      <c r="E110" s="1">
        <v>40100000</v>
      </c>
    </row>
    <row r="111" spans="1:5" x14ac:dyDescent="0.3">
      <c r="A111" s="1" t="s">
        <v>450</v>
      </c>
      <c r="B111" s="1" t="s">
        <v>20</v>
      </c>
      <c r="C111" s="1" t="s">
        <v>243</v>
      </c>
      <c r="D111" s="1" t="s">
        <v>244</v>
      </c>
      <c r="E111" s="1">
        <v>42900000</v>
      </c>
    </row>
    <row r="112" spans="1:5" x14ac:dyDescent="0.3">
      <c r="A112" s="1" t="s">
        <v>30</v>
      </c>
      <c r="B112" s="1" t="s">
        <v>20</v>
      </c>
      <c r="C112" s="1" t="s">
        <v>896</v>
      </c>
      <c r="D112" s="1" t="s">
        <v>897</v>
      </c>
      <c r="E112" s="1">
        <v>36300000</v>
      </c>
    </row>
    <row r="113" spans="1:5" x14ac:dyDescent="0.3">
      <c r="A113" s="1" t="s">
        <v>455</v>
      </c>
      <c r="B113" s="1" t="s">
        <v>141</v>
      </c>
      <c r="C113" s="1" t="s">
        <v>887</v>
      </c>
      <c r="D113" s="1" t="s">
        <v>197</v>
      </c>
      <c r="E113" s="1">
        <v>39600000</v>
      </c>
    </row>
    <row r="114" spans="1:5" x14ac:dyDescent="0.3">
      <c r="A114" s="1" t="s">
        <v>536</v>
      </c>
      <c r="B114" s="1" t="s">
        <v>55</v>
      </c>
      <c r="C114" s="1" t="s">
        <v>569</v>
      </c>
      <c r="D114" s="1" t="s">
        <v>880</v>
      </c>
      <c r="E114" s="1">
        <v>40000000</v>
      </c>
    </row>
    <row r="115" spans="1:5" x14ac:dyDescent="0.3">
      <c r="A115" s="1" t="s">
        <v>379</v>
      </c>
      <c r="B115" s="1" t="s">
        <v>141</v>
      </c>
      <c r="C115" s="1" t="s">
        <v>433</v>
      </c>
      <c r="D115" s="1" t="s">
        <v>872</v>
      </c>
      <c r="E115" s="1">
        <v>33000000</v>
      </c>
    </row>
    <row r="116" spans="1:5" x14ac:dyDescent="0.3">
      <c r="A116" s="1" t="s">
        <v>426</v>
      </c>
      <c r="B116" s="1" t="s">
        <v>94</v>
      </c>
      <c r="C116" s="1" t="s">
        <v>260</v>
      </c>
      <c r="D116" s="1" t="s">
        <v>261</v>
      </c>
      <c r="E116" s="1">
        <v>34000000</v>
      </c>
    </row>
    <row r="117" spans="1:5" x14ac:dyDescent="0.3">
      <c r="A117" s="1" t="s">
        <v>329</v>
      </c>
      <c r="B117" s="1" t="s">
        <v>141</v>
      </c>
      <c r="C117" s="1" t="s">
        <v>65</v>
      </c>
      <c r="D117" s="1" t="s">
        <v>66</v>
      </c>
      <c r="E117" s="1">
        <v>36000000</v>
      </c>
    </row>
    <row r="118" spans="1:5" x14ac:dyDescent="0.3">
      <c r="A118" s="1" t="s">
        <v>390</v>
      </c>
      <c r="B118" s="1" t="s">
        <v>13</v>
      </c>
      <c r="C118" s="1" t="s">
        <v>288</v>
      </c>
      <c r="D118" s="1" t="s">
        <v>881</v>
      </c>
      <c r="E118" s="1">
        <v>30000000</v>
      </c>
    </row>
    <row r="119" spans="1:5" x14ac:dyDescent="0.3">
      <c r="A119" s="1" t="s">
        <v>533</v>
      </c>
      <c r="B119" s="1" t="s">
        <v>141</v>
      </c>
      <c r="C119" s="1" t="s">
        <v>288</v>
      </c>
      <c r="D119" s="1" t="s">
        <v>288</v>
      </c>
      <c r="E119" s="1">
        <v>33000000</v>
      </c>
    </row>
    <row r="120" spans="1:5" x14ac:dyDescent="0.3">
      <c r="A120" s="1" t="s">
        <v>517</v>
      </c>
      <c r="B120" s="1" t="s">
        <v>20</v>
      </c>
      <c r="C120" s="1" t="s">
        <v>293</v>
      </c>
      <c r="D120" s="1" t="s">
        <v>294</v>
      </c>
      <c r="E120" s="1">
        <v>29700000</v>
      </c>
    </row>
    <row r="121" spans="1:5" x14ac:dyDescent="0.3">
      <c r="A121" s="1" t="s">
        <v>525</v>
      </c>
      <c r="B121" s="1" t="s">
        <v>41</v>
      </c>
      <c r="C121" s="1" t="s">
        <v>39</v>
      </c>
      <c r="D121" s="1" t="s">
        <v>40</v>
      </c>
      <c r="E121" s="1">
        <v>30000000</v>
      </c>
    </row>
    <row r="122" spans="1:5" x14ac:dyDescent="0.3">
      <c r="A122" s="1" t="s">
        <v>514</v>
      </c>
      <c r="B122" s="1" t="s">
        <v>55</v>
      </c>
      <c r="C122" s="1" t="s">
        <v>191</v>
      </c>
      <c r="D122" s="1" t="s">
        <v>192</v>
      </c>
      <c r="E122" s="1">
        <v>30000000</v>
      </c>
    </row>
    <row r="123" spans="1:5" x14ac:dyDescent="0.3">
      <c r="A123" s="1" t="s">
        <v>236</v>
      </c>
      <c r="B123" s="1" t="s">
        <v>94</v>
      </c>
      <c r="C123" s="1" t="s">
        <v>191</v>
      </c>
      <c r="D123" s="1" t="s">
        <v>192</v>
      </c>
      <c r="E123" s="1">
        <v>27000000</v>
      </c>
    </row>
    <row r="124" spans="1:5" x14ac:dyDescent="0.3">
      <c r="A124" s="1" t="s">
        <v>323</v>
      </c>
      <c r="B124" s="1" t="s">
        <v>141</v>
      </c>
      <c r="C124" s="1" t="s">
        <v>327</v>
      </c>
      <c r="D124" s="1" t="s">
        <v>328</v>
      </c>
      <c r="E124" s="1">
        <v>8800000</v>
      </c>
    </row>
    <row r="125" spans="1:5" x14ac:dyDescent="0.3">
      <c r="A125" s="1" t="s">
        <v>199</v>
      </c>
      <c r="B125" s="1" t="s">
        <v>141</v>
      </c>
      <c r="C125" s="1" t="s">
        <v>544</v>
      </c>
      <c r="D125" s="1" t="s">
        <v>875</v>
      </c>
      <c r="E125" s="1">
        <v>20000000</v>
      </c>
    </row>
    <row r="126" spans="1:5" x14ac:dyDescent="0.3">
      <c r="A126" s="1" t="s">
        <v>415</v>
      </c>
      <c r="B126" s="1" t="s">
        <v>141</v>
      </c>
      <c r="C126" s="1" t="s">
        <v>884</v>
      </c>
      <c r="D126" s="1" t="s">
        <v>885</v>
      </c>
      <c r="E126" s="1">
        <v>6600000</v>
      </c>
    </row>
    <row r="127" spans="1:5" x14ac:dyDescent="0.3">
      <c r="A127" s="1" t="s">
        <v>157</v>
      </c>
      <c r="B127" s="1" t="s">
        <v>13</v>
      </c>
      <c r="C127" s="1" t="s">
        <v>889</v>
      </c>
      <c r="D127" s="1" t="s">
        <v>878</v>
      </c>
      <c r="E127" s="1">
        <v>13200000</v>
      </c>
    </row>
    <row r="128" spans="1:5" x14ac:dyDescent="0.3">
      <c r="A128" s="1" t="s">
        <v>193</v>
      </c>
      <c r="B128" s="1" t="s">
        <v>141</v>
      </c>
      <c r="C128" s="1" t="s">
        <v>884</v>
      </c>
      <c r="D128" s="1" t="s">
        <v>885</v>
      </c>
      <c r="E128" s="1">
        <v>6600000</v>
      </c>
    </row>
    <row r="129" spans="1:5" x14ac:dyDescent="0.3">
      <c r="A129" s="1" t="s">
        <v>169</v>
      </c>
      <c r="B129" s="1" t="s">
        <v>94</v>
      </c>
      <c r="C129" s="1" t="s">
        <v>173</v>
      </c>
      <c r="D129" s="1" t="s">
        <v>174</v>
      </c>
      <c r="E129" s="1">
        <v>40000000</v>
      </c>
    </row>
    <row r="130" spans="1:5" x14ac:dyDescent="0.3">
      <c r="A130" s="1" t="s">
        <v>163</v>
      </c>
      <c r="B130" s="1" t="s">
        <v>141</v>
      </c>
      <c r="C130" s="1" t="s">
        <v>168</v>
      </c>
      <c r="D130" s="1" t="s">
        <v>513</v>
      </c>
      <c r="E130" s="1">
        <v>39000000</v>
      </c>
    </row>
    <row r="131" spans="1:5" x14ac:dyDescent="0.3">
      <c r="A131" s="1" t="s">
        <v>229</v>
      </c>
      <c r="B131" s="1" t="s">
        <v>141</v>
      </c>
      <c r="C131" s="1" t="s">
        <v>110</v>
      </c>
      <c r="D131" s="1" t="s">
        <v>111</v>
      </c>
      <c r="E131" s="1">
        <v>18700000</v>
      </c>
    </row>
    <row r="132" spans="1:5" x14ac:dyDescent="0.3">
      <c r="A132" s="1" t="s">
        <v>226</v>
      </c>
      <c r="B132" s="1" t="s">
        <v>13</v>
      </c>
      <c r="C132" s="1" t="s">
        <v>87</v>
      </c>
      <c r="D132" s="1" t="s">
        <v>88</v>
      </c>
      <c r="E132" s="1">
        <v>11000000</v>
      </c>
    </row>
    <row r="133" spans="1:5" x14ac:dyDescent="0.3">
      <c r="A133" s="1" t="s">
        <v>249</v>
      </c>
      <c r="B133" s="1" t="s">
        <v>94</v>
      </c>
      <c r="C133" s="1" t="s">
        <v>462</v>
      </c>
      <c r="D133" s="1" t="s">
        <v>463</v>
      </c>
      <c r="E133" s="1">
        <v>140000000</v>
      </c>
    </row>
    <row r="134" spans="1:5" x14ac:dyDescent="0.3">
      <c r="A134" s="1" t="s">
        <v>245</v>
      </c>
      <c r="B134" s="1" t="s">
        <v>94</v>
      </c>
      <c r="C134" s="1" t="s">
        <v>438</v>
      </c>
      <c r="D134" s="1" t="s">
        <v>54</v>
      </c>
      <c r="E134" s="1">
        <v>50000000</v>
      </c>
    </row>
    <row r="135" spans="1:5" x14ac:dyDescent="0.3">
      <c r="A135" s="1" t="s">
        <v>262</v>
      </c>
      <c r="B135" s="1" t="s">
        <v>48</v>
      </c>
      <c r="C135" s="1" t="s">
        <v>288</v>
      </c>
      <c r="D135" s="1" t="s">
        <v>881</v>
      </c>
      <c r="E135" s="1">
        <v>165000000</v>
      </c>
    </row>
    <row r="136" spans="1:5" x14ac:dyDescent="0.3">
      <c r="A136" s="1" t="s">
        <v>256</v>
      </c>
      <c r="B136" s="1" t="s">
        <v>55</v>
      </c>
      <c r="C136" s="1" t="s">
        <v>266</v>
      </c>
      <c r="D136" s="1" t="s">
        <v>267</v>
      </c>
      <c r="E136" s="1">
        <v>100000000</v>
      </c>
    </row>
    <row r="137" spans="1:5" x14ac:dyDescent="0.3">
      <c r="A137" s="1" t="s">
        <v>275</v>
      </c>
      <c r="B137" s="1" t="s">
        <v>48</v>
      </c>
      <c r="C137" s="1" t="s">
        <v>741</v>
      </c>
      <c r="D137" s="1" t="s">
        <v>742</v>
      </c>
      <c r="E137" s="1">
        <v>99000000</v>
      </c>
    </row>
    <row r="138" spans="1:5" x14ac:dyDescent="0.3">
      <c r="A138" s="1" t="s">
        <v>289</v>
      </c>
      <c r="B138" s="1" t="s">
        <v>55</v>
      </c>
      <c r="C138" s="1" t="s">
        <v>173</v>
      </c>
      <c r="D138" s="1" t="s">
        <v>174</v>
      </c>
      <c r="E138" s="1">
        <v>70000000</v>
      </c>
    </row>
    <row r="139" spans="1:5" x14ac:dyDescent="0.3">
      <c r="A139" s="1" t="s">
        <v>283</v>
      </c>
      <c r="B139" s="1" t="s">
        <v>141</v>
      </c>
      <c r="C139" s="1" t="s">
        <v>462</v>
      </c>
      <c r="D139" s="1" t="s">
        <v>463</v>
      </c>
      <c r="E139" s="1">
        <v>350000000</v>
      </c>
    </row>
    <row r="140" spans="1:5" x14ac:dyDescent="0.3">
      <c r="A140" s="1" t="s">
        <v>302</v>
      </c>
      <c r="B140" s="1" t="s">
        <v>13</v>
      </c>
      <c r="C140" s="1" t="s">
        <v>212</v>
      </c>
      <c r="D140" s="1" t="s">
        <v>213</v>
      </c>
      <c r="E140" s="1">
        <v>76000000</v>
      </c>
    </row>
    <row r="141" spans="1:5" x14ac:dyDescent="0.3">
      <c r="A141" s="1" t="s">
        <v>299</v>
      </c>
      <c r="B141" s="1" t="s">
        <v>20</v>
      </c>
      <c r="C141" s="1" t="s">
        <v>203</v>
      </c>
      <c r="D141" s="1" t="s">
        <v>198</v>
      </c>
      <c r="E141" s="1">
        <v>33000000</v>
      </c>
    </row>
    <row r="142" spans="1:5" x14ac:dyDescent="0.3">
      <c r="A142" s="1" t="s">
        <v>295</v>
      </c>
      <c r="B142" s="1" t="s">
        <v>20</v>
      </c>
      <c r="C142" s="1" t="s">
        <v>746</v>
      </c>
      <c r="D142" s="1" t="s">
        <v>898</v>
      </c>
      <c r="E142" s="1">
        <v>36300000</v>
      </c>
    </row>
    <row r="143" spans="1:5" x14ac:dyDescent="0.3">
      <c r="A143" s="1" t="s">
        <v>332</v>
      </c>
      <c r="B143" s="1" t="s">
        <v>20</v>
      </c>
      <c r="C143" s="1" t="s">
        <v>121</v>
      </c>
      <c r="D143" s="1" t="s">
        <v>122</v>
      </c>
      <c r="E143" s="1">
        <v>60000000</v>
      </c>
    </row>
    <row r="144" spans="1:5" x14ac:dyDescent="0.3">
      <c r="A144" s="1" t="s">
        <v>575</v>
      </c>
      <c r="B144" s="1" t="s">
        <v>20</v>
      </c>
      <c r="C144" s="1" t="s">
        <v>39</v>
      </c>
      <c r="D144" s="1" t="s">
        <v>40</v>
      </c>
      <c r="E144" s="1">
        <v>60000000</v>
      </c>
    </row>
    <row r="145" spans="1:5" x14ac:dyDescent="0.3">
      <c r="A145" s="1" t="s">
        <v>571</v>
      </c>
      <c r="B145" s="1" t="s">
        <v>20</v>
      </c>
      <c r="C145" s="1" t="s">
        <v>12</v>
      </c>
      <c r="D145" s="1" t="s">
        <v>899</v>
      </c>
      <c r="E145" s="1">
        <v>44000000</v>
      </c>
    </row>
    <row r="146" spans="1:5" x14ac:dyDescent="0.3">
      <c r="A146" s="1" t="s">
        <v>585</v>
      </c>
      <c r="B146" s="1" t="s">
        <v>13</v>
      </c>
      <c r="C146" s="1" t="s">
        <v>212</v>
      </c>
      <c r="D146" s="1" t="s">
        <v>213</v>
      </c>
      <c r="E146" s="1">
        <v>82500000</v>
      </c>
    </row>
    <row r="147" spans="1:5" x14ac:dyDescent="0.3">
      <c r="A147" s="1" t="s">
        <v>581</v>
      </c>
      <c r="B147" s="1" t="s">
        <v>55</v>
      </c>
      <c r="C147" s="1" t="s">
        <v>626</v>
      </c>
      <c r="D147" s="1" t="s">
        <v>627</v>
      </c>
      <c r="E147" s="1">
        <v>95000000</v>
      </c>
    </row>
    <row r="148" spans="1:5" x14ac:dyDescent="0.3">
      <c r="A148" s="1" t="s">
        <v>592</v>
      </c>
      <c r="B148" s="1" t="s">
        <v>55</v>
      </c>
      <c r="C148" s="1" t="s">
        <v>293</v>
      </c>
      <c r="D148" s="1" t="s">
        <v>294</v>
      </c>
      <c r="E148" s="1">
        <v>180000000</v>
      </c>
    </row>
    <row r="149" spans="1:5" x14ac:dyDescent="0.3">
      <c r="A149" s="1" t="s">
        <v>612</v>
      </c>
      <c r="B149" s="1" t="s">
        <v>55</v>
      </c>
      <c r="C149" s="1" t="s">
        <v>309</v>
      </c>
      <c r="D149" s="1" t="s">
        <v>310</v>
      </c>
      <c r="E149" s="1">
        <v>77000000</v>
      </c>
    </row>
    <row r="150" spans="1:5" x14ac:dyDescent="0.3">
      <c r="A150" s="1" t="s">
        <v>602</v>
      </c>
      <c r="B150" s="1" t="s">
        <v>20</v>
      </c>
      <c r="C150" s="1" t="s">
        <v>626</v>
      </c>
      <c r="D150" s="1" t="s">
        <v>627</v>
      </c>
      <c r="E150" s="1">
        <v>60000000</v>
      </c>
    </row>
    <row r="151" spans="1:5" x14ac:dyDescent="0.3">
      <c r="A151" s="1" t="s">
        <v>635</v>
      </c>
      <c r="B151" s="1" t="s">
        <v>41</v>
      </c>
      <c r="C151" s="1" t="s">
        <v>293</v>
      </c>
      <c r="D151" s="1" t="s">
        <v>294</v>
      </c>
      <c r="E151" s="1">
        <v>330000000</v>
      </c>
    </row>
    <row r="152" spans="1:5" x14ac:dyDescent="0.3">
      <c r="A152" s="1" t="s">
        <v>641</v>
      </c>
      <c r="B152" s="1" t="s">
        <v>55</v>
      </c>
      <c r="C152" s="1" t="s">
        <v>12</v>
      </c>
      <c r="D152" s="1" t="s">
        <v>899</v>
      </c>
      <c r="E152" s="1">
        <v>175000000</v>
      </c>
    </row>
    <row r="153" spans="1:5" x14ac:dyDescent="0.3">
      <c r="A153" s="1" t="s">
        <v>672</v>
      </c>
      <c r="B153" s="1" t="s">
        <v>41</v>
      </c>
      <c r="C153" s="1" t="s">
        <v>453</v>
      </c>
      <c r="D153" s="1" t="s">
        <v>454</v>
      </c>
      <c r="E153" s="1">
        <v>40000000</v>
      </c>
    </row>
    <row r="154" spans="1:5" x14ac:dyDescent="0.3">
      <c r="A154" s="1" t="s">
        <v>682</v>
      </c>
      <c r="B154" s="1" t="s">
        <v>41</v>
      </c>
      <c r="C154" s="1" t="s">
        <v>453</v>
      </c>
      <c r="D154" s="1" t="s">
        <v>454</v>
      </c>
      <c r="E154" s="1">
        <v>68000000</v>
      </c>
    </row>
    <row r="155" spans="1:5" x14ac:dyDescent="0.3">
      <c r="A155" s="1" t="s">
        <v>726</v>
      </c>
      <c r="B155" s="1" t="s">
        <v>55</v>
      </c>
      <c r="C155" s="1" t="s">
        <v>66</v>
      </c>
      <c r="D155" s="1" t="s">
        <v>77</v>
      </c>
      <c r="E155" s="1">
        <v>33000000</v>
      </c>
    </row>
    <row r="156" spans="1:5" x14ac:dyDescent="0.3">
      <c r="A156" s="1" t="s">
        <v>737</v>
      </c>
      <c r="B156" s="1" t="s">
        <v>871</v>
      </c>
      <c r="C156" s="1" t="s">
        <v>116</v>
      </c>
      <c r="D156" s="1" t="s">
        <v>117</v>
      </c>
      <c r="E156" s="1">
        <v>45000000</v>
      </c>
    </row>
    <row r="157" spans="1:5" x14ac:dyDescent="0.3">
      <c r="A157" s="1" t="s">
        <v>730</v>
      </c>
      <c r="B157" s="1" t="s">
        <v>55</v>
      </c>
      <c r="C157" s="1" t="s">
        <v>900</v>
      </c>
      <c r="D157" s="1" t="s">
        <v>901</v>
      </c>
      <c r="E157" s="1">
        <v>1450000000</v>
      </c>
    </row>
    <row r="158" spans="1:5" x14ac:dyDescent="0.3">
      <c r="A158" s="1" t="s">
        <v>751</v>
      </c>
      <c r="B158" s="1" t="s">
        <v>55</v>
      </c>
      <c r="C158" s="1" t="s">
        <v>462</v>
      </c>
      <c r="D158" s="1" t="s">
        <v>463</v>
      </c>
      <c r="E158" s="1">
        <v>66000000</v>
      </c>
    </row>
    <row r="159" spans="1:5" x14ac:dyDescent="0.3">
      <c r="A159" s="1" t="s">
        <v>747</v>
      </c>
      <c r="B159" s="1" t="s">
        <v>48</v>
      </c>
      <c r="C159" s="1" t="s">
        <v>168</v>
      </c>
      <c r="D159" s="1" t="s">
        <v>513</v>
      </c>
      <c r="E159" s="1">
        <v>80000000</v>
      </c>
    </row>
    <row r="160" spans="1:5" x14ac:dyDescent="0.3">
      <c r="A160" s="1" t="s">
        <v>743</v>
      </c>
      <c r="B160" s="1" t="s">
        <v>94</v>
      </c>
      <c r="C160" s="1" t="s">
        <v>902</v>
      </c>
      <c r="D160" s="1" t="s">
        <v>903</v>
      </c>
      <c r="E160" s="1">
        <v>52000000</v>
      </c>
    </row>
    <row r="161" spans="1:5" x14ac:dyDescent="0.3">
      <c r="A161" s="1" t="s">
        <v>762</v>
      </c>
      <c r="B161" s="1" t="s">
        <v>892</v>
      </c>
      <c r="C161" s="1" t="s">
        <v>544</v>
      </c>
      <c r="D161" s="1" t="s">
        <v>875</v>
      </c>
      <c r="E161" s="1">
        <v>25000000</v>
      </c>
    </row>
    <row r="162" spans="1:5" x14ac:dyDescent="0.3">
      <c r="A162" s="1" t="s">
        <v>758</v>
      </c>
      <c r="B162" s="1" t="s">
        <v>55</v>
      </c>
      <c r="C162" s="1" t="s">
        <v>462</v>
      </c>
      <c r="D162" s="1" t="s">
        <v>904</v>
      </c>
      <c r="E162" s="1">
        <v>35000000</v>
      </c>
    </row>
    <row r="163" spans="1:5" x14ac:dyDescent="0.3">
      <c r="A163" s="1" t="s">
        <v>755</v>
      </c>
      <c r="B163" s="1" t="s">
        <v>94</v>
      </c>
      <c r="C163" s="1" t="s">
        <v>462</v>
      </c>
      <c r="D163" s="1" t="s">
        <v>904</v>
      </c>
      <c r="E163" s="1">
        <v>78000000</v>
      </c>
    </row>
    <row r="164" spans="1:5" x14ac:dyDescent="0.3">
      <c r="A164" s="1" t="s">
        <v>773</v>
      </c>
      <c r="B164" s="1" t="s">
        <v>55</v>
      </c>
      <c r="C164" s="1" t="s">
        <v>92</v>
      </c>
      <c r="D164" s="1" t="s">
        <v>93</v>
      </c>
      <c r="E164" s="1">
        <v>80000000</v>
      </c>
    </row>
    <row r="165" spans="1:5" x14ac:dyDescent="0.3">
      <c r="A165" s="1" t="s">
        <v>769</v>
      </c>
      <c r="B165" s="1" t="s">
        <v>13</v>
      </c>
      <c r="C165" s="1" t="s">
        <v>121</v>
      </c>
      <c r="D165" s="1" t="s">
        <v>122</v>
      </c>
      <c r="E165" s="1">
        <v>115000000</v>
      </c>
    </row>
    <row r="166" spans="1:5" x14ac:dyDescent="0.3">
      <c r="A166" s="1" t="s">
        <v>765</v>
      </c>
      <c r="B166" s="1" t="s">
        <v>13</v>
      </c>
      <c r="C166" s="1" t="s">
        <v>528</v>
      </c>
      <c r="D166" s="1" t="s">
        <v>529</v>
      </c>
      <c r="E166" s="1">
        <v>66000000</v>
      </c>
    </row>
    <row r="167" spans="1:5" x14ac:dyDescent="0.3">
      <c r="A167" s="1" t="s">
        <v>777</v>
      </c>
      <c r="B167" s="1" t="s">
        <v>13</v>
      </c>
      <c r="C167" s="1" t="s">
        <v>413</v>
      </c>
      <c r="D167" s="1" t="s">
        <v>414</v>
      </c>
      <c r="E167" s="1">
        <v>33000000</v>
      </c>
    </row>
    <row r="168" spans="1:5" x14ac:dyDescent="0.3">
      <c r="A168" s="1" t="s">
        <v>793</v>
      </c>
      <c r="B168" s="1" t="s">
        <v>13</v>
      </c>
      <c r="C168" s="1" t="s">
        <v>887</v>
      </c>
      <c r="D168" s="1" t="s">
        <v>197</v>
      </c>
      <c r="E168" s="1">
        <v>44500000</v>
      </c>
    </row>
    <row r="169" spans="1:5" x14ac:dyDescent="0.3">
      <c r="A169" s="1" t="s">
        <v>787</v>
      </c>
      <c r="B169" s="1" t="s">
        <v>55</v>
      </c>
      <c r="C169" s="1" t="s">
        <v>12</v>
      </c>
      <c r="D169" s="1" t="s">
        <v>899</v>
      </c>
      <c r="E169" s="1">
        <v>175000000</v>
      </c>
    </row>
    <row r="170" spans="1:5" x14ac:dyDescent="0.3">
      <c r="A170" s="1" t="s">
        <v>804</v>
      </c>
      <c r="B170" s="1" t="s">
        <v>55</v>
      </c>
      <c r="C170" s="1" t="s">
        <v>288</v>
      </c>
      <c r="D170" s="1" t="s">
        <v>881</v>
      </c>
      <c r="E170" s="1">
        <v>30000000</v>
      </c>
    </row>
    <row r="171" spans="1:5" x14ac:dyDescent="0.3">
      <c r="A171" s="1" t="s">
        <v>821</v>
      </c>
      <c r="B171" s="1" t="s">
        <v>48</v>
      </c>
      <c r="C171" s="1" t="s">
        <v>741</v>
      </c>
      <c r="D171" s="1" t="s">
        <v>742</v>
      </c>
      <c r="E171" s="1">
        <v>110000000</v>
      </c>
    </row>
    <row r="172" spans="1:5" x14ac:dyDescent="0.3">
      <c r="A172" s="1" t="s">
        <v>827</v>
      </c>
      <c r="B172" s="1" t="s">
        <v>55</v>
      </c>
      <c r="C172" s="1" t="s">
        <v>905</v>
      </c>
      <c r="D172" s="1" t="s">
        <v>906</v>
      </c>
      <c r="E172" s="1">
        <v>28400000</v>
      </c>
    </row>
    <row r="173" spans="1:5" x14ac:dyDescent="0.3">
      <c r="A173" s="1" t="s">
        <v>844</v>
      </c>
      <c r="B173" s="1" t="s">
        <v>55</v>
      </c>
      <c r="C173" s="1" t="s">
        <v>127</v>
      </c>
      <c r="D173" s="1" t="s">
        <v>128</v>
      </c>
      <c r="E173" s="1">
        <v>50000000</v>
      </c>
    </row>
    <row r="174" spans="1:5" x14ac:dyDescent="0.3">
      <c r="A174" s="1" t="s">
        <v>841</v>
      </c>
      <c r="B174" s="1" t="s">
        <v>871</v>
      </c>
      <c r="C174" s="1" t="s">
        <v>260</v>
      </c>
      <c r="D174" s="1" t="s">
        <v>261</v>
      </c>
      <c r="E174" s="1">
        <v>46200000</v>
      </c>
    </row>
    <row r="175" spans="1:5" x14ac:dyDescent="0.3">
      <c r="A175" s="1" t="s">
        <v>851</v>
      </c>
      <c r="B175" s="1" t="s">
        <v>20</v>
      </c>
      <c r="C175" s="1" t="s">
        <v>528</v>
      </c>
      <c r="D175" s="1" t="s">
        <v>529</v>
      </c>
      <c r="E175" s="1">
        <v>42000000</v>
      </c>
    </row>
    <row r="176" spans="1:5" x14ac:dyDescent="0.3">
      <c r="A176" s="1" t="s">
        <v>848</v>
      </c>
      <c r="B176" s="1" t="s">
        <v>13</v>
      </c>
      <c r="C176" s="1" t="s">
        <v>173</v>
      </c>
      <c r="D176" s="1" t="s">
        <v>174</v>
      </c>
      <c r="E176" s="1">
        <v>39600000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Siavash</dc:creator>
  <cp:lastModifiedBy>Siavash</cp:lastModifiedBy>
  <dcterms:created xsi:type="dcterms:W3CDTF">2026-09-09T13:53:23Z</dcterms:created>
  <dcterms:modified xsi:type="dcterms:W3CDTF">2026-09-12T11:56:55Z</dcterms:modified>
</cp:coreProperties>
</file>